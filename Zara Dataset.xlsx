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c3a5cb0e62e9d31/Documents/DataAnalysis/Excel/"/>
    </mc:Choice>
  </mc:AlternateContent>
  <xr:revisionPtr revIDLastSave="2" documentId="13_ncr:1_{21B3EACC-1F36-4E52-863D-AC028485B43C}" xr6:coauthVersionLast="47" xr6:coauthVersionMax="47" xr10:uidLastSave="{1A628830-F7EC-4816-9651-A513C8B088EF}"/>
  <bookViews>
    <workbookView xWindow="-108" yWindow="-108" windowWidth="23256" windowHeight="12456" activeTab="2" xr2:uid="{1255E08B-74F7-4C3B-8BF2-D783C1953B78}"/>
  </bookViews>
  <sheets>
    <sheet name="Raw_zara_data" sheetId="2" r:id="rId1"/>
    <sheet name="Sheet1" sheetId="1" r:id="rId2"/>
    <sheet name="cleaned data" sheetId="3" r:id="rId3"/>
  </sheets>
  <definedNames>
    <definedName name="ExternalData_1" localSheetId="0" hidden="1">Raw_zara_data!$A$1:$P$253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6" i="3" l="1"/>
  <c r="Y19"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 i="2"/>
  <c r="Y2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745F0-E728-46A2-AB41-8A1BDD210C9A}" keepAlive="1" name="Query - zara" description="Connection to the 'zara' query in the workbook." type="5" refreshedVersion="7" background="1" saveData="1">
    <dbPr connection="Provider=Microsoft.Mashup.OleDb.1;Data Source=$Workbook$;Location=zara;Extended Properties=&quot;&quot;" command="SELECT * FROM [zara]"/>
  </connection>
</connections>
</file>

<file path=xl/sharedStrings.xml><?xml version="1.0" encoding="utf-8"?>
<sst xmlns="http://schemas.openxmlformats.org/spreadsheetml/2006/main" count="6135" uniqueCount="951">
  <si>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</si>
  <si>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</si>
  <si>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</si>
  <si>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</si>
  <si>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</si>
  <si>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</si>
  <si>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</si>
  <si>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</si>
  <si>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</si>
  <si>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</si>
  <si>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</si>
  <si>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</si>
  <si>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</si>
  <si>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</si>
  <si>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</si>
  <si>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</si>
  <si>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</si>
  <si>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</si>
  <si>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</si>
  <si>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</si>
  <si>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</si>
  <si>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</si>
  <si>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</si>
  <si>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</si>
  <si>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</si>
  <si>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</si>
  <si>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</si>
  <si>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</si>
  <si>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</si>
  <si>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</si>
  <si>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</si>
  <si>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</si>
  <si>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</si>
  <si>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</si>
  <si>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</si>
  <si>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</si>
  <si>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</si>
  <si>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</si>
  <si>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</si>
  <si>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</si>
  <si>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</si>
  <si>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</si>
  <si>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</si>
  <si>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</si>
  <si>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</si>
  <si>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</si>
  <si>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</si>
  <si>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</si>
  <si>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</si>
  <si>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</si>
  <si>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</si>
  <si>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</si>
  <si>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</si>
  <si>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</si>
  <si>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</si>
  <si>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</si>
  <si>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</si>
  <si>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</si>
  <si>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</si>
  <si>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</si>
  <si>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</si>
  <si>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</si>
  <si>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</si>
  <si>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</si>
  <si>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</si>
  <si>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</si>
  <si>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</si>
  <si>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</si>
  <si>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</si>
  <si>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</si>
  <si>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</si>
  <si>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</si>
  <si>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</si>
  <si>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</si>
  <si>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</si>
  <si>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</si>
  <si>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</si>
  <si>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</si>
  <si>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</si>
  <si>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</si>
  <si>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</si>
  <si>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</si>
  <si>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</si>
  <si>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</si>
  <si>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</si>
  <si>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</si>
  <si>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</si>
  <si>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</si>
  <si>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</si>
  <si>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</si>
  <si>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</si>
  <si>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</si>
  <si>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</si>
  <si>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</si>
  <si>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</si>
  <si>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</si>
  <si>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</si>
  <si>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</si>
  <si>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</si>
  <si>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</si>
  <si>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</si>
  <si>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</si>
  <si>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</si>
  <si>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</si>
  <si>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</si>
  <si>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</si>
  <si>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</si>
  <si>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</si>
  <si>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</si>
  <si>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</si>
  <si>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</si>
  <si>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</si>
  <si>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</si>
  <si>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</si>
  <si>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</si>
  <si>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</si>
  <si>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</si>
  <si>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</si>
  <si>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</si>
  <si>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</si>
  <si>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</si>
  <si>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</si>
  <si>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</si>
  <si>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</si>
  <si>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</si>
  <si>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</si>
  <si>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</si>
  <si>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</si>
  <si>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</si>
  <si>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</si>
  <si>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</si>
  <si>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</si>
  <si>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</si>
  <si>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</si>
  <si>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</si>
  <si>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</si>
  <si>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</si>
  <si>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</si>
  <si>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</si>
  <si>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</si>
  <si>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</si>
  <si>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</si>
  <si>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</si>
  <si>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</si>
  <si>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</si>
  <si>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</si>
  <si>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</si>
  <si>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</si>
  <si>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</si>
  <si>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</si>
  <si>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</si>
  <si>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</si>
  <si>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</si>
  <si>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</si>
  <si>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</si>
  <si>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</si>
  <si>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</si>
  <si>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</si>
  <si>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</si>
  <si>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</si>
  <si>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</si>
  <si>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</si>
  <si>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</si>
  <si>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</si>
  <si>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</si>
  <si>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</si>
  <si>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</si>
  <si>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</si>
  <si>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</si>
  <si>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</si>
  <si>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</si>
  <si>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</si>
  <si>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</si>
  <si>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</si>
  <si>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</si>
  <si>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</si>
  <si>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</si>
  <si>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</si>
  <si>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</si>
  <si>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</si>
  <si>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</si>
  <si>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</si>
  <si>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</si>
  <si>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</si>
  <si>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</si>
  <si>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</si>
  <si>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</si>
  <si>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</si>
  <si>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</si>
  <si>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</si>
  <si>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</si>
  <si>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</si>
  <si>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</si>
  <si>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</si>
  <si>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</si>
  <si>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</si>
  <si>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</si>
  <si>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</si>
  <si>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</si>
  <si>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</si>
  <si>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</si>
  <si>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</si>
  <si>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</si>
  <si>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</si>
  <si>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</si>
  <si>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</si>
  <si>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</si>
  <si>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</si>
  <si>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</si>
  <si>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</si>
  <si>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</si>
  <si>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</si>
  <si>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</si>
  <si>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</si>
  <si>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</si>
  <si>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</si>
  <si>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</si>
  <si>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</si>
  <si>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</si>
  <si>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</si>
  <si>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</si>
  <si>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</si>
  <si>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</si>
  <si>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</si>
  <si>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</si>
  <si>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</si>
  <si>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</si>
  <si>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</si>
  <si>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</si>
  <si>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</si>
  <si>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</si>
  <si>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</si>
  <si>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</si>
  <si>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</si>
  <si>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</si>
  <si>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</si>
  <si>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</si>
  <si>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</si>
  <si>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</si>
  <si>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</si>
  <si>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</si>
  <si>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</si>
  <si>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</si>
  <si>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</si>
  <si>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</si>
  <si>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</si>
  <si>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</si>
  <si>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</si>
  <si>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</si>
  <si>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</si>
  <si>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</si>
  <si>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</si>
  <si>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</si>
  <si>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</si>
  <si>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</si>
  <si>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</si>
  <si>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</si>
  <si>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</si>
  <si>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</si>
  <si>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</si>
  <si>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</si>
  <si>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</si>
  <si>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</si>
  <si>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</si>
  <si>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</si>
  <si>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</si>
  <si>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</si>
  <si>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</si>
  <si>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</si>
  <si>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</si>
  <si>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</si>
  <si>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</si>
  <si>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</si>
  <si>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</si>
  <si>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</si>
  <si>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</si>
  <si>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</si>
  <si>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</si>
  <si>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</si>
  <si>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</si>
  <si>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</si>
  <si>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</si>
  <si>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</si>
  <si>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</si>
  <si>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</si>
  <si>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</si>
  <si>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</si>
  <si>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</si>
  <si>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</si>
  <si>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</si>
  <si>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</si>
  <si>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</si>
  <si>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</si>
  <si>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</si>
  <si>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</si>
  <si>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</si>
  <si>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</si>
  <si>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</si>
  <si>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</si>
  <si>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</si>
  <si>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</si>
  <si>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</si>
  <si>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</si>
  <si>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</si>
  <si>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</si>
  <si>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</si>
  <si>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</si>
  <si>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</si>
  <si>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</si>
  <si>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</si>
  <si>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</si>
  <si>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</si>
  <si>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</si>
  <si>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</si>
  <si>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</si>
  <si>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</si>
  <si>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</si>
  <si>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</si>
  <si>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</si>
  <si>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</si>
  <si>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</si>
  <si>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</si>
  <si>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</si>
  <si>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</si>
  <si>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</si>
  <si>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</si>
  <si>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</si>
  <si>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</si>
  <si>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</si>
  <si>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</si>
  <si>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</si>
  <si>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</si>
  <si>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</si>
  <si>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</si>
  <si>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</si>
  <si>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</si>
  <si>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</si>
  <si>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</si>
  <si>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</si>
  <si>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</si>
  <si>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</si>
  <si>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</si>
  <si>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</si>
  <si>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</si>
  <si>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</si>
  <si>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</si>
  <si>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</si>
  <si>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</si>
  <si>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</si>
  <si>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</si>
  <si>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</si>
  <si>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</si>
  <si>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</si>
  <si>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</si>
  <si>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</si>
  <si>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</si>
  <si>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</si>
  <si>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</si>
  <si>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</si>
  <si>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</si>
  <si>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</si>
  <si>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</si>
  <si>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</si>
  <si>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</si>
  <si>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</si>
  <si>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</si>
  <si>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</si>
  <si>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</si>
  <si>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</si>
  <si>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</si>
  <si>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</si>
  <si>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</si>
  <si>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</si>
  <si>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</si>
  <si>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</si>
  <si>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</si>
  <si>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</si>
  <si>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</si>
  <si>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</si>
  <si>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</si>
  <si>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</si>
  <si>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</si>
  <si>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</si>
  <si>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</si>
  <si>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</si>
  <si>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</si>
  <si>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</si>
  <si>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</si>
  <si>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</si>
  <si>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</si>
  <si>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</si>
  <si>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</si>
  <si>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</si>
  <si>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</si>
  <si>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</si>
  <si>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</si>
  <si>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</si>
  <si>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</si>
  <si>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</si>
  <si>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</si>
  <si>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</si>
  <si>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</si>
  <si>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</si>
  <si>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</si>
  <si>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</si>
  <si>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</si>
  <si>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</si>
  <si>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</si>
  <si>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</si>
  <si>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</si>
  <si>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</si>
  <si>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</si>
  <si>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</si>
  <si>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</si>
  <si>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</si>
  <si>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</si>
  <si>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</si>
  <si>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</si>
  <si>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</si>
  <si>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</si>
  <si>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</si>
  <si>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</si>
  <si>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</si>
  <si>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</si>
  <si>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</si>
  <si>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</si>
  <si>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</si>
  <si>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</si>
  <si>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</si>
  <si>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</si>
  <si>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</si>
  <si>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</si>
  <si>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</si>
  <si>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</si>
  <si>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</si>
  <si>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</si>
  <si>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</si>
  <si>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</si>
  <si>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</si>
  <si>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</si>
  <si>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</si>
  <si>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</si>
  <si>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</si>
  <si>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</si>
  <si>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</si>
  <si>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</si>
  <si>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</si>
  <si>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</si>
  <si>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</si>
  <si>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</si>
  <si>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</si>
  <si>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</si>
  <si>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</si>
  <si>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</si>
  <si>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</si>
  <si>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</si>
  <si>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</si>
  <si>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</si>
  <si>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</si>
  <si>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</si>
  <si>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</si>
  <si>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</si>
  <si>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</si>
  <si>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</si>
  <si>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</si>
  <si>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</si>
  <si>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</si>
  <si>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</si>
  <si>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</si>
  <si>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</si>
  <si>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</si>
  <si>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</si>
  <si>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</si>
  <si>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</si>
  <si>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</si>
  <si>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</si>
  <si>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</si>
  <si>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</si>
  <si>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</si>
  <si>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</si>
  <si>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</si>
  <si>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</si>
  <si>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</si>
  <si>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</si>
  <si>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</si>
  <si>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</si>
  <si>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</si>
  <si>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</si>
  <si>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</si>
  <si>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</si>
  <si>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</si>
  <si>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</si>
  <si>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</si>
  <si>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</si>
  <si>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</si>
  <si>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</si>
  <si>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</si>
  <si>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</si>
  <si>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</si>
  <si>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</si>
  <si>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</si>
  <si>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</si>
  <si>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</si>
  <si>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</si>
  <si>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</si>
  <si>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</si>
  <si>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</si>
  <si>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</si>
  <si>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</si>
  <si>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</si>
  <si>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</si>
  <si>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</si>
  <si>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</si>
  <si>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</si>
  <si>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</si>
  <si>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</si>
  <si>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</si>
  <si>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</si>
  <si>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</si>
  <si>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</si>
  <si>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</si>
  <si>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</si>
  <si>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</si>
  <si>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</si>
  <si>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</si>
  <si>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</si>
  <si>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</si>
  <si>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</si>
  <si>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</si>
  <si>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</si>
  <si>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</si>
  <si>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</si>
  <si>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</si>
  <si>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</si>
  <si>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</si>
  <si>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</si>
  <si>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</si>
  <si>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</si>
  <si>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</si>
  <si>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</si>
  <si>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</si>
  <si>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</si>
  <si>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</si>
  <si>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</si>
  <si>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</si>
  <si>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</si>
  <si>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</si>
  <si>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</si>
  <si>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</si>
  <si>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</si>
  <si>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</si>
  <si>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</si>
  <si>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</si>
  <si>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</si>
  <si>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</si>
  <si>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</si>
  <si>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</si>
  <si>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</si>
  <si>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</si>
  <si>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</si>
  <si>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</si>
  <si>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</si>
  <si>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</si>
  <si>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</si>
  <si>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</si>
  <si>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</si>
  <si>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</si>
  <si>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</si>
  <si>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</si>
  <si>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</si>
  <si>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</si>
  <si>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</si>
  <si>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</si>
  <si>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</si>
  <si>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</si>
  <si>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</si>
  <si>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</si>
  <si>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</si>
  <si>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</si>
  <si>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</si>
  <si>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</si>
  <si>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</si>
  <si>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</si>
  <si>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</si>
  <si>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</si>
  <si>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</si>
  <si>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</si>
  <si>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</si>
  <si>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</si>
  <si>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</si>
  <si>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</si>
  <si>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</si>
  <si>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</si>
  <si>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</si>
  <si>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</si>
  <si>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</si>
  <si>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</si>
  <si>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</si>
  <si>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</si>
  <si>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</si>
  <si>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</si>
  <si>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</si>
  <si>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</si>
  <si>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</si>
  <si>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</si>
  <si>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</si>
  <si>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</si>
  <si>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</si>
  <si>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</si>
  <si>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</si>
  <si>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</si>
  <si>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</si>
  <si>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</si>
  <si>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</si>
  <si>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</si>
  <si>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</si>
  <si>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</si>
  <si>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</si>
  <si>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</si>
  <si>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</si>
  <si>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</si>
  <si>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</si>
  <si>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</si>
  <si>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</si>
  <si>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</si>
  <si>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</si>
  <si>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</si>
  <si>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</si>
  <si>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</si>
  <si>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</si>
  <si>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</si>
  <si>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</si>
  <si>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</si>
  <si>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</si>
  <si>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</si>
  <si>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</si>
  <si>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</si>
  <si>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</si>
  <si>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</si>
  <si>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</si>
  <si>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</si>
  <si>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appliquÃ©.</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</si>
  <si>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</si>
  <si>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</si>
  <si>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</si>
  <si>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</si>
  <si>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</si>
  <si>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</si>
  <si>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</si>
  <si>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</si>
  <si>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</si>
  <si>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</si>
  <si>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</si>
  <si>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</si>
  <si>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</si>
  <si>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</si>
  <si>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</si>
  <si>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</si>
  <si>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</si>
  <si>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</si>
  <si>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</si>
  <si>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</si>
  <si>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</si>
  <si>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</si>
  <si>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</si>
  <si>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</si>
  <si>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</si>
  <si>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</si>
  <si>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</si>
  <si>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</si>
  <si>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</si>
  <si>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</si>
  <si>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</si>
  <si>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</si>
  <si>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</si>
  <si>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</si>
  <si>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</si>
  <si>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</si>
  <si>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</si>
  <si>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</si>
  <si>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</si>
  <si>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</si>
  <si>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</si>
  <si>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</si>
  <si>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</si>
  <si>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</si>
  <si>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</si>
  <si>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</si>
  <si>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</si>
  <si>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appliquÃ©s and long sleeves.</t>
  </si>
  <si>
    <t>https://www.zara.com/us/en/faux-fur-jewel-sweater-p07901339.html</t>
  </si>
  <si>
    <t>324814227-400-2</t>
  </si>
  <si>
    <t>FAUX FUR JEWEL SWEATER</t>
  </si>
  <si>
    <t>Round neck short sleeve sweater. Soft feel faux fur fabric. Jewel appliquÃ©s.</t>
  </si>
  <si>
    <t>https://www.zara.com/us/en/metal-bead-knit-sweater-p03920018.html</t>
  </si>
  <si>
    <t>323218942-800-2</t>
  </si>
  <si>
    <t>METAL BEAD KNIT SWEATER</t>
  </si>
  <si>
    <t>Round neck long sleeve sweater. Side slit at hem with metal bead appliquÃ©s.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</si>
  <si>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</si>
  <si>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</si>
  <si>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</si>
  <si>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</si>
  <si>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</si>
  <si>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</si>
  <si>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</si>
  <si>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appliquÃ©s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</si>
  <si>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</si>
  <si>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</si>
  <si>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</si>
  <si>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</si>
  <si>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</si>
  <si>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</si>
  <si>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</si>
  <si>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</si>
  <si>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</si>
  <si>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</si>
  <si>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</si>
  <si>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</si>
  <si>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</si>
  <si>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</si>
  <si>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</si>
  <si>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</si>
  <si>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</si>
  <si>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</si>
  <si>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</si>
  <si>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</si>
  <si>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</si>
  <si>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</si>
  <si>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</si>
  <si>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</si>
  <si>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</si>
  <si>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</si>
  <si>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</si>
  <si>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</si>
  <si>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</si>
  <si>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</si>
  <si>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</si>
  <si>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</si>
  <si>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</si>
  <si>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</si>
  <si>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</si>
  <si>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</si>
  <si>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</si>
  <si>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</si>
  <si>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</si>
  <si>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</si>
  <si>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</si>
  <si>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</si>
  <si>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</si>
  <si>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</si>
  <si>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</si>
  <si>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</si>
  <si>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</si>
  <si>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</si>
  <si>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</si>
  <si>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</si>
  <si>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</si>
  <si>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</si>
  <si>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</si>
  <si>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</si>
  <si>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</si>
  <si>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</si>
  <si>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</si>
  <si>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</si>
  <si>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</si>
  <si>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appliquÃ©s. Back button closure.</t>
  </si>
  <si>
    <t>https://www.zara.com/us/en/knit-pearl-sweater-p04331165.html</t>
  </si>
  <si>
    <t>318131967-800-2</t>
  </si>
  <si>
    <t>KNIT PEARL SWEATER</t>
  </si>
  <si>
    <t>Round neck long sleeve sweater. Tonal pearl appliquÃ©s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</si>
  <si>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</si>
  <si>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</si>
  <si>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</si>
  <si>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</si>
  <si>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</si>
  <si>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</si>
  <si>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</si>
  <si>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</si>
  <si>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</si>
  <si>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</si>
  <si>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</si>
  <si>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</si>
  <si>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</si>
  <si>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</si>
  <si>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</si>
  <si>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</si>
  <si>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</si>
  <si>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</si>
  <si>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</si>
  <si>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</si>
  <si>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</si>
  <si>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</si>
  <si>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</si>
  <si>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</si>
  <si>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</si>
  <si>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</si>
  <si>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</si>
  <si>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</si>
  <si>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</si>
  <si>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</si>
  <si>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</si>
  <si>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</si>
  <si>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</si>
  <si>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</si>
  <si>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</si>
  <si>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</si>
  <si>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</si>
  <si>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</si>
  <si>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</si>
  <si>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</si>
  <si>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</si>
  <si>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</si>
  <si>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</si>
  <si>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</si>
  <si>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</si>
  <si>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</si>
  <si>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</si>
  <si>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</si>
  <si>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</si>
  <si>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</si>
  <si>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</si>
  <si>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</si>
  <si>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</si>
  <si>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</si>
  <si>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</si>
  <si>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</si>
  <si>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</si>
  <si>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</si>
  <si>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</si>
  <si>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</si>
  <si>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</si>
  <si>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</si>
  <si>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</si>
  <si>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</si>
  <si>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</si>
  <si>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</si>
  <si>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</si>
  <si>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</si>
  <si>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</si>
  <si>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</si>
  <si>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</si>
  <si>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</si>
  <si>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</si>
  <si>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</si>
  <si>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</si>
  <si>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</si>
  <si>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</si>
  <si>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</si>
  <si>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</si>
  <si>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</si>
  <si>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</si>
  <si>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</si>
  <si>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</si>
  <si>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</si>
  <si>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</si>
  <si>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</si>
  <si>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</si>
  <si>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</si>
  <si>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</si>
  <si>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</si>
  <si>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</si>
  <si>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</si>
  <si>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</si>
  <si>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</si>
  <si>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</si>
  <si>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</si>
  <si>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</si>
  <si>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</si>
  <si>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</si>
  <si>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</si>
  <si>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</si>
  <si>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</si>
  <si>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</si>
  <si>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</si>
  <si>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</si>
  <si>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</si>
  <si>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</si>
  <si>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</si>
  <si>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</si>
  <si>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</si>
  <si>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</si>
  <si>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</si>
  <si>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</si>
  <si>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</si>
  <si>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</si>
  <si>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</si>
  <si>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</si>
  <si>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</si>
  <si>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</si>
  <si>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</si>
  <si>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</si>
  <si>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</si>
  <si>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</si>
  <si>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</si>
  <si>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</si>
  <si>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</si>
  <si>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</si>
  <si>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</si>
  <si>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</si>
  <si>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</si>
  <si>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</si>
  <si>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</si>
  <si>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Understanding the data (warm-up questions)</t>
  </si>
  <si>
    <t>1. What does this dataset represent, and what kind of business problem does it solve?</t>
  </si>
  <si>
    <t>2. What are the key columns in the dataset and what do they mean?</t>
  </si>
  <si>
    <t>3. What type of analysis can you perform with this dataset in Excel?</t>
  </si>
  <si>
    <t>4. Are there any limitations or missing information in the dataset?</t>
  </si>
  <si>
    <t>🧹 Data cleaning &amp; preparation questions</t>
  </si>
  <si>
    <t>5. How would you clean this dataset before analysis?</t>
  </si>
  <si>
    <t>6. What steps would you take to check for duplicates or errors?</t>
  </si>
  <si>
    <t>7. Would you create any new calculated columns? If yes, why?</t>
  </si>
  <si>
    <t>8. How would you structure the data for pivot tables?</t>
  </si>
  <si>
    <t>📊 Sales analysis questions</t>
  </si>
  <si>
    <t>9. Which product category performs best and how would you prove it?</t>
  </si>
  <si>
    <t>10. Which products are the top 10 best sellers?</t>
  </si>
  <si>
    <t>11. Which category has the lowest performance? What could be the reason?</t>
  </si>
  <si>
    <t>12. How would you measure overall sales performance in Excel?</t>
  </si>
  <si>
    <t>💰 Pricing analysis questions</t>
  </si>
  <si>
    <t>13. What is the relationship between product price and sales volume?</t>
  </si>
  <si>
    <t>14. Which category has the highest average price?</t>
  </si>
  <si>
    <t>15. Do higher-priced items sell more or less than cheaper ones?</t>
  </si>
  <si>
    <t>16. How would you identify overpriced or underperforming products?</t>
  </si>
  <si>
    <t>📈 Business insight questions (VERY important)</t>
  </si>
  <si>
    <t>17. If you were a business manager, what 3 insights would you report?</t>
  </si>
  <si>
    <t>18. Which categories should Zara invest more in and why?</t>
  </si>
  <si>
    <t>19. Which products would you recommend discontinuing?</t>
  </si>
  <si>
    <t>20. What risks or patterns do you notice in the sales data?</t>
  </si>
  <si>
    <t>📊 Excel skills testing questions</t>
  </si>
  <si>
    <t>21. Which Excel functions would you use to analyse this dataset?</t>
  </si>
  <si>
    <t>22. How would you use pivot tables in this analysis?</t>
  </si>
  <si>
    <t>23. How would you build a dashboard from this data?</t>
  </si>
  <si>
    <t>24. What charts would best represent category performance?</t>
  </si>
  <si>
    <t>🧠 Critical thinking questions (what interviewers love)</t>
  </si>
  <si>
    <t>25. If sales suddenly dropped in one category, how would you investigate it?</t>
  </si>
  <si>
    <t>26. How reliable is this dataset for decision-making?</t>
  </si>
  <si>
    <t>27. What additional data would you want to improve your analysis?</t>
  </si>
  <si>
    <t>28. How would you explain your findings to a non-technical manager?</t>
  </si>
  <si>
    <t>🔥 Advanced “stand out” questions</t>
  </si>
  <si>
    <t>29. Can you identify any patterns between price and demand?</t>
  </si>
  <si>
    <t>30. Which products show high demand but low revenue impact?</t>
  </si>
  <si>
    <t>31. How would you use this data to support inventory decisions?</t>
  </si>
  <si>
    <t>32. What KPIs would you track if you managed this business?</t>
  </si>
  <si>
    <t>🎯 How to use this properly</t>
  </si>
  <si>
    <t>Sales Dataset showing the sales trend of clothing from Zara brand</t>
  </si>
  <si>
    <t>Total sales</t>
  </si>
  <si>
    <t>Total sales ($)</t>
  </si>
  <si>
    <t>9. Which product terms performs best and how would you prove it?</t>
  </si>
  <si>
    <t>Sales volume</t>
  </si>
  <si>
    <t>Product term</t>
  </si>
  <si>
    <t>Product name</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</si>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</sst>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top style="double">
        <color theme="4"/>
      </top>
      <bottom/>
      <diagonal/>
    </border>
    <border>
      <left/>
      <right/>
      <top style="double">
        <color theme="4"/>
      </top>
      <bottom/>
      <diagonal/>
    </border>
    <border>
      <left style="thin">
        <color theme="4" tint="0.39997558519241921"/>
      </left>
      <right style="thin">
        <color theme="4" tint="0.39997558519241921"/>
      </right>
      <top style="double">
        <color theme="4"/>
      </top>
      <bottom style="thin">
        <color theme="4" tint="0.39997558519241921"/>
      </bottom>
      <diagonal/>
    </border>
  </borders>
  <cellStyleXfs count="1">
    <xf numFmtId="0" fontId="0" fillId="0" borderId="0"/>
  </cellStyleXfs>
  <cellXfs count="18">
    <xf numFmtId="0" fontId="0" fillId="0" borderId="0" xfId="0"/>
    <xf numFmtId="0" fontId="0" fillId="0" borderId="0" xfId="0" applyNumberFormat="1"/>
    <xf numFmtId="22" fontId="0" fillId="0" borderId="0" xfId="0" applyNumberFormat="1"/>
    <xf numFmtId="0" fontId="1" fillId="0" borderId="0" xfId="0" applyFont="1" applyAlignment="1">
      <alignment vertical="center"/>
    </xf>
    <xf numFmtId="0" fontId="0" fillId="0" borderId="0" xfId="0" applyAlignment="1">
      <alignment horizontal="left" vertical="center" indent="1"/>
    </xf>
    <xf numFmtId="0" fontId="0" fillId="2" borderId="1" xfId="0" applyFont="1" applyFill="1" applyBorder="1"/>
    <xf numFmtId="0" fontId="0" fillId="2" borderId="2" xfId="0" applyFont="1" applyFill="1" applyBorder="1"/>
    <xf numFmtId="0" fontId="2" fillId="3" borderId="3" xfId="0" applyFont="1" applyFill="1" applyBorder="1"/>
    <xf numFmtId="0" fontId="2" fillId="3" borderId="0" xfId="0" applyFont="1" applyFill="1" applyBorder="1"/>
    <xf numFmtId="0" fontId="2" fillId="2" borderId="5" xfId="0" applyFont="1" applyFill="1" applyBorder="1"/>
    <xf numFmtId="0" fontId="2" fillId="2" borderId="4" xfId="0" applyFont="1" applyFill="1" applyBorder="1"/>
    <xf numFmtId="0" fontId="2" fillId="3" borderId="6" xfId="0" applyFont="1" applyFill="1" applyBorder="1"/>
    <xf numFmtId="0" fontId="3" fillId="2" borderId="7" xfId="0" applyFont="1" applyFill="1" applyBorder="1"/>
    <xf numFmtId="0" fontId="3" fillId="2" borderId="8" xfId="0" applyFont="1" applyFill="1" applyBorder="1"/>
    <xf numFmtId="0" fontId="0" fillId="2" borderId="6" xfId="0" applyFont="1" applyFill="1" applyBorder="1"/>
    <xf numFmtId="0" fontId="3" fillId="0" borderId="1" xfId="0" applyFont="1" applyBorder="1"/>
    <xf numFmtId="0" fontId="3" fillId="0" borderId="2" xfId="0" applyFont="1" applyBorder="1"/>
    <xf numFmtId="0" fontId="3" fillId="0" borderId="9" xfId="0" applyFont="1" applyBorder="1"/>
  </cellXfs>
  <cellStyles count="1">
    <cellStyle name="Normal" xfId="0" builtinId="0"/>
  </cellStyles>
  <dxfs count="18">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right style="thin">
          <color theme="4" tint="0.39997558519241921"/>
        </right>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77CD85-7300-409C-B011-58DC269E7CDE}" autoFormatId="16" applyNumberFormats="0" applyBorderFormats="0" applyFontFormats="0" applyPatternFormats="0" applyAlignmentFormats="0" applyWidthHeightFormats="0">
  <queryTableRefresh nextId="17">
    <queryTableFields count="16">
      <queryTableField id="1" name="Product ID" tableColumnId="1"/>
      <queryTableField id="2" name="Product Position" tableColumnId="2"/>
      <queryTableField id="3" name="Promotion" tableColumnId="3"/>
      <queryTableField id="4" name="Product Category" tableColumnId="4"/>
      <queryTableField id="5" name="Seasonal" tableColumnId="5"/>
      <queryTableField id="6" name="Sales Volume" tableColumnId="6"/>
      <queryTableField id="7" name="brand" tableColumnId="7"/>
      <queryTableField id="8" name="url" tableColumnId="8"/>
      <queryTableField id="9" name="sku" tableColumnId="9"/>
      <queryTableField id="10" name="name" tableColumnId="10"/>
      <queryTableField id="11" name="description" tableColumnId="11"/>
      <queryTableField id="12" name="price" tableColumnId="12"/>
      <queryTableField id="13" name="currency" tableColumnId="13"/>
      <queryTableField id="14" name="scraped_at" tableColumnId="14"/>
      <queryTableField id="15" name="terms" tableColumnId="15"/>
      <queryTableField id="16" name="sectio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03B17-9C50-4356-982B-A5B35153FA60}" name="zara" displayName="zara" ref="A1:P253" tableType="queryTable" totalsRowShown="0">
  <autoFilter ref="A1:P253" xr:uid="{AA503B17-9C50-4356-982B-A5B35153FA60}"/>
  <tableColumns count="16">
    <tableColumn id="1" xr3:uid="{AA2C4FA5-CB0C-4174-B176-479B40C65E3B}" uniqueName="1" name="Product ID" queryTableFieldId="1"/>
    <tableColumn id="2" xr3:uid="{9B7D372F-59B0-489E-B4B5-C482DD658383}" uniqueName="2" name="Product Position" queryTableFieldId="2" dataDxfId="17"/>
    <tableColumn id="3" xr3:uid="{48D3B50D-7778-4F46-93B1-BC4B00B1E802}" uniqueName="3" name="Promotion" queryTableFieldId="3" dataDxfId="16"/>
    <tableColumn id="4" xr3:uid="{8E51C8D0-F0AB-4446-92CE-BBFFA0623EDE}" uniqueName="4" name="Product Category" queryTableFieldId="4" dataDxfId="15"/>
    <tableColumn id="5" xr3:uid="{D6C6D0EA-ACD6-4618-8BCF-810021BA5BA1}" uniqueName="5" name="Seasonal" queryTableFieldId="5" dataDxfId="14"/>
    <tableColumn id="6" xr3:uid="{A03BD3C5-D650-4802-8E4B-C0B993048EC8}" uniqueName="6" name="Sales Volume" queryTableFieldId="6"/>
    <tableColumn id="7" xr3:uid="{2E6D8D0B-E34D-427C-8302-2C87733BA688}" uniqueName="7" name="brand" queryTableFieldId="7" dataDxfId="13"/>
    <tableColumn id="8" xr3:uid="{8B37766A-7D0B-42BF-BF15-323EFBA1D56B}" uniqueName="8" name="url" queryTableFieldId="8" dataDxfId="12"/>
    <tableColumn id="9" xr3:uid="{A94E3632-A066-4B12-94A8-56A103FBCB72}" uniqueName="9" name="sku" queryTableFieldId="9" dataDxfId="11"/>
    <tableColumn id="10" xr3:uid="{13E5AE76-F9A2-422E-9F42-BA25BCBF8069}" uniqueName="10" name="name" queryTableFieldId="10" dataDxfId="10"/>
    <tableColumn id="11" xr3:uid="{14AFA990-4ED3-4BB0-B8EE-3D779032D1FC}" uniqueName="11" name="description" queryTableFieldId="11" dataDxfId="9"/>
    <tableColumn id="12" xr3:uid="{6F9A6841-45A1-4D7C-B287-92875E153DF9}" uniqueName="12" name="price" queryTableFieldId="12"/>
    <tableColumn id="13" xr3:uid="{A27262EA-2948-4A8F-9C58-C1E18163A8D6}" uniqueName="13" name="currency" queryTableFieldId="13" dataDxfId="8"/>
    <tableColumn id="14" xr3:uid="{05FA1E3E-E6B6-4AA6-BA86-EBA901576578}" uniqueName="14" name="scraped_at" queryTableFieldId="14" dataDxfId="7"/>
    <tableColumn id="15" xr3:uid="{CDACA40B-FCBF-4B6A-B297-C4D38BB43395}" uniqueName="15" name="terms" queryTableFieldId="15" dataDxfId="6"/>
    <tableColumn id="16" xr3:uid="{2AFFF2F8-2BCC-4A76-A1DE-5B6A0893BEA0}" uniqueName="16" name="section" queryTableFieldId="16"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003573-F089-419C-A5A0-F35F25698341}" name="Table8" displayName="Table8" ref="B3:R255" totalsRowShown="0">
  <autoFilter ref="B3:R255" xr:uid="{39003573-F089-419C-A5A0-F35F25698341}"/>
  <tableColumns count="17">
    <tableColumn id="1" xr3:uid="{AF6D31EE-95A2-4B2C-8351-546EDCA0EDFB}" name="Product ID"/>
    <tableColumn id="2" xr3:uid="{0494575E-6367-4384-932D-C0E489413290}" name="Product Position"/>
    <tableColumn id="3" xr3:uid="{41030110-10FB-4893-84A8-3EAB50C2CACD}" name="Promotion"/>
    <tableColumn id="4" xr3:uid="{26300400-E231-4FAC-8893-76AC68A350E9}" name="Product Category"/>
    <tableColumn id="5" xr3:uid="{3D4C02FC-5E68-4769-9F43-DE638DE89900}" name="Seasonal"/>
    <tableColumn id="6" xr3:uid="{5D11D626-59D7-4F0B-BFDA-516FD6ACDE78}" name="Sales Volume"/>
    <tableColumn id="7" xr3:uid="{E06B3158-37B0-442A-9168-AC23610F3CD4}" name="brand"/>
    <tableColumn id="8" xr3:uid="{27FE824D-302B-490E-A1BF-86F0439420DB}" name="url"/>
    <tableColumn id="9" xr3:uid="{4A84BE1F-F152-4F09-B2C9-6E03F1A42D1E}" name="sku"/>
    <tableColumn id="10" xr3:uid="{C0F67B05-12C8-472A-A4F2-E66AE49BFD02}" name="name"/>
    <tableColumn id="11" xr3:uid="{523342DD-38B6-4D72-8687-768BD2F347FD}" name="description"/>
    <tableColumn id="12" xr3:uid="{106E606B-AA09-43D8-8602-7E2425C12363}" name="price"/>
    <tableColumn id="13" xr3:uid="{D4FF9B2E-03F6-482D-8E93-230BF02650CF}" name="currency"/>
    <tableColumn id="14" xr3:uid="{FF31FC22-11C5-4405-9D4A-541B831D77A2}" name="scraped_at"/>
    <tableColumn id="15" xr3:uid="{0EC8F464-9551-4337-A12D-AC538E5B7A2E}" name="terms"/>
    <tableColumn id="16" xr3:uid="{168B7ADC-200D-4FC1-ADE7-67D4D4F62B26}" name="section"/>
    <tableColumn id="17" xr3:uid="{BA40F125-F438-4A2E-BFFF-4DECEBAF89E2}" name="Total sales ($)" dataDxfId="4">
      <calculatedColumnFormula>G4*M4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157ECA-0468-40AC-9C26-5DB65F575D26}" name="Table5" displayName="Table5" ref="Y11:AA16" totalsRowShown="0" headerRowDxfId="3" tableBorderDxfId="2">
  <autoFilter ref="Y11:AA16" xr:uid="{96157ECA-0468-40AC-9C26-5DB65F575D26}"/>
  <sortState xmlns:xlrd2="http://schemas.microsoft.com/office/spreadsheetml/2017/richdata2" ref="Y12:AA16">
    <sortCondition descending="1" ref="AA11:AA16"/>
  </sortState>
  <tableColumns count="3">
    <tableColumn id="1" xr3:uid="{BDAED0BA-084F-4131-A9E4-0237F42E6C2A}" name="Product term"/>
    <tableColumn id="2" xr3:uid="{3A402777-2136-4740-ADE4-55CF497D52CB}" name="Sales volume" dataDxfId="1"/>
    <tableColumn id="3" xr3:uid="{A04DD725-4144-488A-9F10-1C58F57E9CF6}" name="Total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7626-F23B-43D4-B167-1C9AEFDEB9F1}">
  <dimension ref="A1:R253"/>
  <sheetViews>
    <sheetView topLeftCell="J1" workbookViewId="0">
      <selection activeCell="B1" sqref="A1:P253"/>
    </sheetView>
  </sheetViews>
  <sheetFormatPr defaultRowHeight="14.4" x14ac:dyDescent="0.3"/>
  <cols>
    <col min="1" max="1" width="12.109375" bestFit="1" customWidth="1"/>
    <col min="2" max="2" width="17.21875" bestFit="1" customWidth="1"/>
    <col min="3" max="3" width="12.21875" bestFit="1" customWidth="1"/>
    <col min="4" max="4" width="18" bestFit="1" customWidth="1"/>
    <col min="5" max="5" width="10.6640625" bestFit="1" customWidth="1"/>
    <col min="6" max="6" width="14.44140625" bestFit="1" customWidth="1"/>
    <col min="7" max="7" width="8.21875" bestFit="1" customWidth="1"/>
    <col min="8" max="8" width="77.88671875" bestFit="1" customWidth="1"/>
    <col min="9" max="9" width="16.44140625" bestFit="1" customWidth="1"/>
    <col min="10" max="10" width="44.6640625" bestFit="1" customWidth="1"/>
    <col min="11" max="11" width="80.88671875" bestFit="1" customWidth="1"/>
    <col min="12" max="12" width="7.33203125" bestFit="1" customWidth="1"/>
    <col min="13" max="13" width="10.5546875" bestFit="1" customWidth="1"/>
    <col min="14" max="14" width="15.6640625" bestFit="1" customWidth="1"/>
    <col min="15" max="15" width="8.33203125" bestFit="1" customWidth="1"/>
    <col min="16" max="16" width="9.2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3">
      <c r="A2">
        <v>185102</v>
      </c>
      <c r="B2" s="1" t="s">
        <v>16</v>
      </c>
      <c r="C2" s="1" t="s">
        <v>17</v>
      </c>
      <c r="D2" s="1" t="s">
        <v>18</v>
      </c>
      <c r="E2" s="1" t="s">
        <v>17</v>
      </c>
      <c r="F2">
        <v>2823</v>
      </c>
      <c r="G2" s="1" t="s">
        <v>19</v>
      </c>
      <c r="H2" s="1" t="s">
        <v>20</v>
      </c>
      <c r="I2" s="1" t="s">
        <v>21</v>
      </c>
      <c r="J2" s="1" t="s">
        <v>22</v>
      </c>
      <c r="K2" s="1" t="s">
        <v>23</v>
      </c>
      <c r="L2">
        <v>19.989999999999998</v>
      </c>
      <c r="M2" s="1" t="s">
        <v>24</v>
      </c>
      <c r="N2" s="2">
        <v>45341.368120995372</v>
      </c>
      <c r="O2" s="1" t="s">
        <v>25</v>
      </c>
      <c r="P2" s="1" t="s">
        <v>26</v>
      </c>
      <c r="R2">
        <f>COUNTBLANK(zara[])</f>
        <v>3</v>
      </c>
    </row>
    <row r="3" spans="1:18" x14ac:dyDescent="0.3">
      <c r="A3">
        <v>188771</v>
      </c>
      <c r="B3" s="1" t="s">
        <v>16</v>
      </c>
      <c r="C3" s="1" t="s">
        <v>17</v>
      </c>
      <c r="D3" s="1" t="s">
        <v>18</v>
      </c>
      <c r="E3" s="1" t="s">
        <v>17</v>
      </c>
      <c r="F3">
        <v>654</v>
      </c>
      <c r="G3" s="1" t="s">
        <v>19</v>
      </c>
      <c r="H3" s="1" t="s">
        <v>27</v>
      </c>
      <c r="I3" s="1" t="s">
        <v>28</v>
      </c>
      <c r="J3" s="1" t="s">
        <v>29</v>
      </c>
      <c r="K3" s="1" t="s">
        <v>30</v>
      </c>
      <c r="L3">
        <v>169</v>
      </c>
      <c r="M3" s="1" t="s">
        <v>24</v>
      </c>
      <c r="N3" s="2">
        <v>45341.368131828705</v>
      </c>
      <c r="O3" s="1" t="s">
        <v>25</v>
      </c>
      <c r="P3" s="1" t="s">
        <v>26</v>
      </c>
    </row>
    <row r="4" spans="1:18" x14ac:dyDescent="0.3">
      <c r="A4">
        <v>180176</v>
      </c>
      <c r="B4" s="1" t="s">
        <v>31</v>
      </c>
      <c r="C4" s="1" t="s">
        <v>32</v>
      </c>
      <c r="D4" s="1" t="s">
        <v>18</v>
      </c>
      <c r="E4" s="1" t="s">
        <v>32</v>
      </c>
      <c r="F4">
        <v>2220</v>
      </c>
      <c r="G4" s="1" t="s">
        <v>19</v>
      </c>
      <c r="H4" s="1" t="s">
        <v>33</v>
      </c>
      <c r="I4" s="1" t="s">
        <v>34</v>
      </c>
      <c r="J4" s="1" t="s">
        <v>35</v>
      </c>
      <c r="K4" s="1" t="s">
        <v>36</v>
      </c>
      <c r="L4">
        <v>129</v>
      </c>
      <c r="M4" s="1" t="s">
        <v>24</v>
      </c>
      <c r="N4" s="2">
        <v>45341.368140057872</v>
      </c>
      <c r="O4" s="1" t="s">
        <v>25</v>
      </c>
      <c r="P4" s="1" t="s">
        <v>26</v>
      </c>
    </row>
    <row r="5" spans="1:18" x14ac:dyDescent="0.3">
      <c r="A5">
        <v>112917</v>
      </c>
      <c r="B5" s="1" t="s">
        <v>16</v>
      </c>
      <c r="C5" s="1" t="s">
        <v>32</v>
      </c>
      <c r="D5" s="1" t="s">
        <v>18</v>
      </c>
      <c r="E5" s="1" t="s">
        <v>32</v>
      </c>
      <c r="F5">
        <v>1568</v>
      </c>
      <c r="G5" s="1" t="s">
        <v>19</v>
      </c>
      <c r="H5" s="1" t="s">
        <v>37</v>
      </c>
      <c r="I5" s="1" t="s">
        <v>38</v>
      </c>
      <c r="J5" s="1" t="s">
        <v>39</v>
      </c>
      <c r="K5" s="1" t="s">
        <v>40</v>
      </c>
      <c r="L5">
        <v>129</v>
      </c>
      <c r="M5" s="1" t="s">
        <v>24</v>
      </c>
      <c r="N5" s="2">
        <v>45341.368146782406</v>
      </c>
      <c r="O5" s="1" t="s">
        <v>25</v>
      </c>
      <c r="P5" s="1" t="s">
        <v>26</v>
      </c>
    </row>
    <row r="6" spans="1:18" x14ac:dyDescent="0.3">
      <c r="A6">
        <v>192936</v>
      </c>
      <c r="B6" s="1" t="s">
        <v>31</v>
      </c>
      <c r="C6" s="1" t="s">
        <v>17</v>
      </c>
      <c r="D6" s="1" t="s">
        <v>18</v>
      </c>
      <c r="E6" s="1" t="s">
        <v>32</v>
      </c>
      <c r="F6">
        <v>2942</v>
      </c>
      <c r="G6" s="1" t="s">
        <v>19</v>
      </c>
      <c r="H6" s="1" t="s">
        <v>41</v>
      </c>
      <c r="I6" s="1" t="s">
        <v>42</v>
      </c>
      <c r="J6" s="1" t="s">
        <v>43</v>
      </c>
      <c r="K6" s="1" t="s">
        <v>44</v>
      </c>
      <c r="L6">
        <v>139</v>
      </c>
      <c r="M6" s="1" t="s">
        <v>24</v>
      </c>
      <c r="N6" s="2">
        <v>45341.368153391202</v>
      </c>
      <c r="O6" s="1" t="s">
        <v>25</v>
      </c>
      <c r="P6" s="1" t="s">
        <v>26</v>
      </c>
    </row>
    <row r="7" spans="1:18" x14ac:dyDescent="0.3">
      <c r="A7">
        <v>117590</v>
      </c>
      <c r="B7" s="1" t="s">
        <v>31</v>
      </c>
      <c r="C7" s="1" t="s">
        <v>17</v>
      </c>
      <c r="D7" s="1" t="s">
        <v>18</v>
      </c>
      <c r="E7" s="1" t="s">
        <v>17</v>
      </c>
      <c r="F7">
        <v>2968</v>
      </c>
      <c r="G7" s="1" t="s">
        <v>19</v>
      </c>
      <c r="H7" s="1" t="s">
        <v>45</v>
      </c>
      <c r="I7" s="1" t="s">
        <v>46</v>
      </c>
      <c r="J7" s="1" t="s">
        <v>47</v>
      </c>
      <c r="K7" s="1" t="s">
        <v>48</v>
      </c>
      <c r="L7">
        <v>79.900000000000006</v>
      </c>
      <c r="M7" s="1" t="s">
        <v>24</v>
      </c>
      <c r="N7" s="2">
        <v>45341.368161342594</v>
      </c>
      <c r="O7" s="1" t="s">
        <v>25</v>
      </c>
      <c r="P7" s="1" t="s">
        <v>26</v>
      </c>
    </row>
    <row r="8" spans="1:18" x14ac:dyDescent="0.3">
      <c r="A8">
        <v>189118</v>
      </c>
      <c r="B8" s="1" t="s">
        <v>49</v>
      </c>
      <c r="C8" s="1" t="s">
        <v>32</v>
      </c>
      <c r="D8" s="1" t="s">
        <v>18</v>
      </c>
      <c r="E8" s="1" t="s">
        <v>32</v>
      </c>
      <c r="F8">
        <v>952</v>
      </c>
      <c r="G8" s="1" t="s">
        <v>19</v>
      </c>
      <c r="H8" s="1" t="s">
        <v>50</v>
      </c>
      <c r="I8" s="1" t="s">
        <v>51</v>
      </c>
      <c r="J8" s="1" t="s">
        <v>52</v>
      </c>
      <c r="K8" s="1" t="s">
        <v>53</v>
      </c>
      <c r="L8">
        <v>69.989999999999995</v>
      </c>
      <c r="M8" s="1" t="s">
        <v>24</v>
      </c>
      <c r="N8" s="2">
        <v>45341.368167685185</v>
      </c>
      <c r="O8" s="1" t="s">
        <v>25</v>
      </c>
      <c r="P8" s="1" t="s">
        <v>26</v>
      </c>
    </row>
    <row r="9" spans="1:18" x14ac:dyDescent="0.3">
      <c r="A9">
        <v>182157</v>
      </c>
      <c r="B9" s="1" t="s">
        <v>16</v>
      </c>
      <c r="C9" s="1" t="s">
        <v>17</v>
      </c>
      <c r="D9" s="1" t="s">
        <v>18</v>
      </c>
      <c r="E9" s="1" t="s">
        <v>17</v>
      </c>
      <c r="F9">
        <v>2421</v>
      </c>
      <c r="G9" s="1" t="s">
        <v>19</v>
      </c>
      <c r="H9" s="1" t="s">
        <v>54</v>
      </c>
      <c r="I9" s="1" t="s">
        <v>55</v>
      </c>
      <c r="J9" s="1" t="s">
        <v>56</v>
      </c>
      <c r="K9" s="1" t="s">
        <v>57</v>
      </c>
      <c r="L9">
        <v>159</v>
      </c>
      <c r="M9" s="1" t="s">
        <v>24</v>
      </c>
      <c r="N9" s="2">
        <v>45341.36817361111</v>
      </c>
      <c r="O9" s="1" t="s">
        <v>25</v>
      </c>
      <c r="P9" s="1" t="s">
        <v>26</v>
      </c>
    </row>
    <row r="10" spans="1:18" x14ac:dyDescent="0.3">
      <c r="A10">
        <v>141861</v>
      </c>
      <c r="B10" s="1" t="s">
        <v>16</v>
      </c>
      <c r="C10" s="1" t="s">
        <v>32</v>
      </c>
      <c r="D10" s="1" t="s">
        <v>18</v>
      </c>
      <c r="E10" s="1" t="s">
        <v>32</v>
      </c>
      <c r="F10">
        <v>1916</v>
      </c>
      <c r="G10" s="1" t="s">
        <v>19</v>
      </c>
      <c r="H10" s="1" t="s">
        <v>58</v>
      </c>
      <c r="I10" s="1" t="s">
        <v>59</v>
      </c>
      <c r="J10" s="1" t="s">
        <v>60</v>
      </c>
      <c r="K10" s="1" t="s">
        <v>61</v>
      </c>
      <c r="L10">
        <v>169</v>
      </c>
      <c r="M10" s="1" t="s">
        <v>24</v>
      </c>
      <c r="N10" s="2">
        <v>45341.368181481484</v>
      </c>
      <c r="O10" s="1" t="s">
        <v>25</v>
      </c>
      <c r="P10" s="1" t="s">
        <v>26</v>
      </c>
    </row>
    <row r="11" spans="1:18" x14ac:dyDescent="0.3">
      <c r="A11">
        <v>137121</v>
      </c>
      <c r="B11" s="1" t="s">
        <v>16</v>
      </c>
      <c r="C11" s="1" t="s">
        <v>17</v>
      </c>
      <c r="D11" s="1" t="s">
        <v>18</v>
      </c>
      <c r="E11" s="1" t="s">
        <v>32</v>
      </c>
      <c r="F11">
        <v>656</v>
      </c>
      <c r="G11" s="1" t="s">
        <v>19</v>
      </c>
      <c r="H11" s="1" t="s">
        <v>62</v>
      </c>
      <c r="I11" s="1" t="s">
        <v>63</v>
      </c>
      <c r="J11" s="1" t="s">
        <v>64</v>
      </c>
      <c r="K11" s="1" t="s">
        <v>65</v>
      </c>
      <c r="L11">
        <v>169</v>
      </c>
      <c r="M11" s="1" t="s">
        <v>24</v>
      </c>
      <c r="N11" s="2">
        <v>45341.368187268519</v>
      </c>
      <c r="O11" s="1" t="s">
        <v>25</v>
      </c>
      <c r="P11" s="1" t="s">
        <v>26</v>
      </c>
    </row>
    <row r="12" spans="1:18" x14ac:dyDescent="0.3">
      <c r="A12">
        <v>113143</v>
      </c>
      <c r="B12" s="1" t="s">
        <v>16</v>
      </c>
      <c r="C12" s="1" t="s">
        <v>32</v>
      </c>
      <c r="D12" s="1" t="s">
        <v>18</v>
      </c>
      <c r="E12" s="1" t="s">
        <v>32</v>
      </c>
      <c r="F12">
        <v>2663</v>
      </c>
      <c r="G12" s="1" t="s">
        <v>19</v>
      </c>
      <c r="H12" s="1" t="s">
        <v>66</v>
      </c>
      <c r="I12" s="1" t="s">
        <v>67</v>
      </c>
      <c r="J12" s="1" t="s">
        <v>68</v>
      </c>
      <c r="K12" s="1" t="s">
        <v>69</v>
      </c>
      <c r="L12">
        <v>129</v>
      </c>
      <c r="M12" s="1" t="s">
        <v>24</v>
      </c>
      <c r="N12" s="2">
        <v>45341.368194571762</v>
      </c>
      <c r="O12" s="1" t="s">
        <v>25</v>
      </c>
      <c r="P12" s="1" t="s">
        <v>26</v>
      </c>
    </row>
    <row r="13" spans="1:18" x14ac:dyDescent="0.3">
      <c r="A13">
        <v>140028</v>
      </c>
      <c r="B13" s="1" t="s">
        <v>16</v>
      </c>
      <c r="C13" s="1" t="s">
        <v>32</v>
      </c>
      <c r="D13" s="1" t="s">
        <v>18</v>
      </c>
      <c r="E13" s="1" t="s">
        <v>32</v>
      </c>
      <c r="F13">
        <v>1260</v>
      </c>
      <c r="G13" s="1" t="s">
        <v>19</v>
      </c>
      <c r="H13" s="1" t="s">
        <v>70</v>
      </c>
      <c r="I13" s="1" t="s">
        <v>71</v>
      </c>
      <c r="J13" s="1" t="s">
        <v>72</v>
      </c>
      <c r="K13" s="1" t="s">
        <v>73</v>
      </c>
      <c r="L13">
        <v>159</v>
      </c>
      <c r="M13" s="1" t="s">
        <v>24</v>
      </c>
      <c r="N13" s="2">
        <v>45341.36820034722</v>
      </c>
      <c r="O13" s="1" t="s">
        <v>25</v>
      </c>
      <c r="P13" s="1" t="s">
        <v>26</v>
      </c>
    </row>
    <row r="14" spans="1:18" x14ac:dyDescent="0.3">
      <c r="A14">
        <v>134693</v>
      </c>
      <c r="B14" s="1" t="s">
        <v>16</v>
      </c>
      <c r="C14" s="1" t="s">
        <v>32</v>
      </c>
      <c r="D14" s="1" t="s">
        <v>18</v>
      </c>
      <c r="E14" s="1" t="s">
        <v>17</v>
      </c>
      <c r="F14">
        <v>2124</v>
      </c>
      <c r="G14" s="1" t="s">
        <v>19</v>
      </c>
      <c r="H14" s="1" t="s">
        <v>74</v>
      </c>
      <c r="I14" s="1" t="s">
        <v>75</v>
      </c>
      <c r="J14" s="1" t="s">
        <v>76</v>
      </c>
      <c r="K14" s="1" t="s">
        <v>77</v>
      </c>
      <c r="L14">
        <v>169</v>
      </c>
      <c r="M14" s="1" t="s">
        <v>24</v>
      </c>
      <c r="N14" s="2">
        <v>45341.368208449072</v>
      </c>
      <c r="O14" s="1" t="s">
        <v>25</v>
      </c>
      <c r="P14" s="1" t="s">
        <v>26</v>
      </c>
    </row>
    <row r="15" spans="1:18" x14ac:dyDescent="0.3">
      <c r="A15">
        <v>151396</v>
      </c>
      <c r="B15" s="1" t="s">
        <v>49</v>
      </c>
      <c r="C15" s="1" t="s">
        <v>32</v>
      </c>
      <c r="D15" s="1" t="s">
        <v>18</v>
      </c>
      <c r="E15" s="1" t="s">
        <v>32</v>
      </c>
      <c r="F15">
        <v>729</v>
      </c>
      <c r="G15" s="1" t="s">
        <v>19</v>
      </c>
      <c r="H15" s="1" t="s">
        <v>78</v>
      </c>
      <c r="I15" s="1" t="s">
        <v>79</v>
      </c>
      <c r="J15" s="1" t="s">
        <v>80</v>
      </c>
      <c r="K15" s="1" t="s">
        <v>81</v>
      </c>
      <c r="L15">
        <v>439</v>
      </c>
      <c r="M15" s="1" t="s">
        <v>24</v>
      </c>
      <c r="N15" s="2">
        <v>45341.368214942129</v>
      </c>
      <c r="O15" s="1" t="s">
        <v>25</v>
      </c>
      <c r="P15" s="1" t="s">
        <v>26</v>
      </c>
    </row>
    <row r="16" spans="1:18" x14ac:dyDescent="0.3">
      <c r="A16">
        <v>132889</v>
      </c>
      <c r="B16" s="1" t="s">
        <v>16</v>
      </c>
      <c r="C16" s="1" t="s">
        <v>32</v>
      </c>
      <c r="D16" s="1" t="s">
        <v>18</v>
      </c>
      <c r="E16" s="1" t="s">
        <v>32</v>
      </c>
      <c r="F16">
        <v>2265</v>
      </c>
      <c r="G16" s="1" t="s">
        <v>19</v>
      </c>
      <c r="H16" s="1" t="s">
        <v>82</v>
      </c>
      <c r="I16" s="1" t="s">
        <v>83</v>
      </c>
      <c r="J16" s="1" t="s">
        <v>84</v>
      </c>
      <c r="K16" s="1" t="s">
        <v>85</v>
      </c>
      <c r="L16">
        <v>99.9</v>
      </c>
      <c r="M16" s="1" t="s">
        <v>24</v>
      </c>
      <c r="N16" s="2">
        <v>45341.368220509263</v>
      </c>
      <c r="O16" s="1" t="s">
        <v>25</v>
      </c>
      <c r="P16" s="1" t="s">
        <v>26</v>
      </c>
    </row>
    <row r="17" spans="1:16" x14ac:dyDescent="0.3">
      <c r="A17">
        <v>152174</v>
      </c>
      <c r="B17" s="1" t="s">
        <v>31</v>
      </c>
      <c r="C17" s="1" t="s">
        <v>17</v>
      </c>
      <c r="D17" s="1" t="s">
        <v>18</v>
      </c>
      <c r="E17" s="1" t="s">
        <v>17</v>
      </c>
      <c r="F17">
        <v>2226</v>
      </c>
      <c r="G17" s="1" t="s">
        <v>19</v>
      </c>
      <c r="H17" s="1" t="s">
        <v>86</v>
      </c>
      <c r="I17" s="1" t="s">
        <v>87</v>
      </c>
      <c r="J17" s="1" t="s">
        <v>88</v>
      </c>
      <c r="K17" s="1" t="s">
        <v>89</v>
      </c>
      <c r="L17">
        <v>99.9</v>
      </c>
      <c r="M17" s="1" t="s">
        <v>24</v>
      </c>
      <c r="N17" s="2">
        <v>45341.368227465275</v>
      </c>
      <c r="O17" s="1" t="s">
        <v>25</v>
      </c>
      <c r="P17" s="1" t="s">
        <v>26</v>
      </c>
    </row>
    <row r="18" spans="1:16" x14ac:dyDescent="0.3">
      <c r="A18">
        <v>129906</v>
      </c>
      <c r="B18" s="1" t="s">
        <v>16</v>
      </c>
      <c r="C18" s="1" t="s">
        <v>17</v>
      </c>
      <c r="D18" s="1" t="s">
        <v>18</v>
      </c>
      <c r="E18" s="1" t="s">
        <v>17</v>
      </c>
      <c r="F18">
        <v>2089</v>
      </c>
      <c r="G18" s="1" t="s">
        <v>19</v>
      </c>
      <c r="H18" s="1" t="s">
        <v>90</v>
      </c>
      <c r="I18" s="1" t="s">
        <v>91</v>
      </c>
      <c r="J18" s="1" t="s">
        <v>92</v>
      </c>
      <c r="K18" s="1" t="s">
        <v>93</v>
      </c>
      <c r="L18">
        <v>69.900000000000006</v>
      </c>
      <c r="M18" s="1" t="s">
        <v>24</v>
      </c>
      <c r="N18" s="2">
        <v>45341.368233634261</v>
      </c>
      <c r="O18" s="1" t="s">
        <v>25</v>
      </c>
      <c r="P18" s="1" t="s">
        <v>26</v>
      </c>
    </row>
    <row r="19" spans="1:16" x14ac:dyDescent="0.3">
      <c r="A19">
        <v>195879</v>
      </c>
      <c r="B19" s="1" t="s">
        <v>49</v>
      </c>
      <c r="C19" s="1" t="s">
        <v>32</v>
      </c>
      <c r="D19" s="1" t="s">
        <v>18</v>
      </c>
      <c r="E19" s="1" t="s">
        <v>32</v>
      </c>
      <c r="F19">
        <v>2339</v>
      </c>
      <c r="G19" s="1" t="s">
        <v>19</v>
      </c>
      <c r="H19" s="1" t="s">
        <v>94</v>
      </c>
      <c r="I19" s="1" t="s">
        <v>95</v>
      </c>
      <c r="J19" s="1" t="s">
        <v>96</v>
      </c>
      <c r="K19" s="1" t="s">
        <v>97</v>
      </c>
      <c r="L19">
        <v>129</v>
      </c>
      <c r="M19" s="1" t="s">
        <v>24</v>
      </c>
      <c r="N19" s="2">
        <v>45341.368239525465</v>
      </c>
      <c r="O19" s="1" t="s">
        <v>25</v>
      </c>
      <c r="P19" s="1" t="s">
        <v>26</v>
      </c>
    </row>
    <row r="20" spans="1:16" x14ac:dyDescent="0.3">
      <c r="A20">
        <v>155050</v>
      </c>
      <c r="B20" s="1" t="s">
        <v>16</v>
      </c>
      <c r="C20" s="1" t="s">
        <v>17</v>
      </c>
      <c r="D20" s="1" t="s">
        <v>18</v>
      </c>
      <c r="E20" s="1" t="s">
        <v>32</v>
      </c>
      <c r="F20">
        <v>2321</v>
      </c>
      <c r="G20" s="1" t="s">
        <v>19</v>
      </c>
      <c r="H20" s="1" t="s">
        <v>98</v>
      </c>
      <c r="I20" s="1" t="s">
        <v>99</v>
      </c>
      <c r="J20" s="1" t="s">
        <v>100</v>
      </c>
      <c r="K20" s="1" t="s">
        <v>101</v>
      </c>
      <c r="L20">
        <v>129</v>
      </c>
      <c r="M20" s="1" t="s">
        <v>24</v>
      </c>
      <c r="N20" s="2">
        <v>45341.368247453705</v>
      </c>
      <c r="O20" s="1" t="s">
        <v>25</v>
      </c>
      <c r="P20" s="1" t="s">
        <v>26</v>
      </c>
    </row>
    <row r="21" spans="1:16" x14ac:dyDescent="0.3">
      <c r="A21">
        <v>194410</v>
      </c>
      <c r="B21" s="1" t="s">
        <v>31</v>
      </c>
      <c r="C21" s="1" t="s">
        <v>17</v>
      </c>
      <c r="D21" s="1" t="s">
        <v>18</v>
      </c>
      <c r="E21" s="1" t="s">
        <v>17</v>
      </c>
      <c r="F21">
        <v>669</v>
      </c>
      <c r="G21" s="1" t="s">
        <v>19</v>
      </c>
      <c r="H21" s="1" t="s">
        <v>102</v>
      </c>
      <c r="I21" s="1" t="s">
        <v>103</v>
      </c>
      <c r="J21" s="1" t="s">
        <v>56</v>
      </c>
      <c r="K21" s="1" t="s">
        <v>104</v>
      </c>
      <c r="L21">
        <v>159</v>
      </c>
      <c r="M21" s="1" t="s">
        <v>24</v>
      </c>
      <c r="N21" s="2">
        <v>45341.368254085646</v>
      </c>
      <c r="O21" s="1" t="s">
        <v>25</v>
      </c>
      <c r="P21" s="1" t="s">
        <v>26</v>
      </c>
    </row>
    <row r="22" spans="1:16" x14ac:dyDescent="0.3">
      <c r="A22">
        <v>141904</v>
      </c>
      <c r="B22" s="1" t="s">
        <v>31</v>
      </c>
      <c r="C22" s="1" t="s">
        <v>32</v>
      </c>
      <c r="D22" s="1" t="s">
        <v>18</v>
      </c>
      <c r="E22" s="1" t="s">
        <v>32</v>
      </c>
      <c r="F22">
        <v>1712</v>
      </c>
      <c r="G22" s="1" t="s">
        <v>19</v>
      </c>
      <c r="H22" s="1" t="s">
        <v>105</v>
      </c>
      <c r="I22" s="1" t="s">
        <v>106</v>
      </c>
      <c r="J22" s="1" t="s">
        <v>107</v>
      </c>
      <c r="K22" s="1" t="s">
        <v>108</v>
      </c>
      <c r="L22">
        <v>109</v>
      </c>
      <c r="M22" s="1" t="s">
        <v>24</v>
      </c>
      <c r="N22" s="2">
        <v>45341.368259710645</v>
      </c>
      <c r="O22" s="1" t="s">
        <v>25</v>
      </c>
      <c r="P22" s="1" t="s">
        <v>26</v>
      </c>
    </row>
    <row r="23" spans="1:16" x14ac:dyDescent="0.3">
      <c r="A23">
        <v>124981</v>
      </c>
      <c r="B23" s="1" t="s">
        <v>49</v>
      </c>
      <c r="C23" s="1" t="s">
        <v>17</v>
      </c>
      <c r="D23" s="1" t="s">
        <v>18</v>
      </c>
      <c r="E23" s="1" t="s">
        <v>32</v>
      </c>
      <c r="F23">
        <v>1832</v>
      </c>
      <c r="G23" s="1" t="s">
        <v>19</v>
      </c>
      <c r="H23" s="1" t="s">
        <v>109</v>
      </c>
      <c r="I23" s="1" t="s">
        <v>110</v>
      </c>
      <c r="J23" s="1" t="s">
        <v>111</v>
      </c>
      <c r="K23" s="1" t="s">
        <v>112</v>
      </c>
      <c r="L23">
        <v>89.9</v>
      </c>
      <c r="M23" s="1" t="s">
        <v>24</v>
      </c>
      <c r="N23" s="2">
        <v>45341.368266944446</v>
      </c>
      <c r="O23" s="1" t="s">
        <v>25</v>
      </c>
      <c r="P23" s="1" t="s">
        <v>26</v>
      </c>
    </row>
    <row r="24" spans="1:16" x14ac:dyDescent="0.3">
      <c r="A24">
        <v>161909</v>
      </c>
      <c r="B24" s="1" t="s">
        <v>16</v>
      </c>
      <c r="C24" s="1" t="s">
        <v>32</v>
      </c>
      <c r="D24" s="1" t="s">
        <v>18</v>
      </c>
      <c r="E24" s="1" t="s">
        <v>17</v>
      </c>
      <c r="F24">
        <v>1290</v>
      </c>
      <c r="G24" s="1" t="s">
        <v>19</v>
      </c>
      <c r="H24" s="1" t="s">
        <v>113</v>
      </c>
      <c r="I24" s="1" t="s">
        <v>114</v>
      </c>
      <c r="J24" s="1" t="s">
        <v>115</v>
      </c>
      <c r="K24" s="1" t="s">
        <v>116</v>
      </c>
      <c r="L24">
        <v>299</v>
      </c>
      <c r="M24" s="1" t="s">
        <v>24</v>
      </c>
      <c r="N24" s="2">
        <v>45341.368273298613</v>
      </c>
      <c r="O24" s="1" t="s">
        <v>25</v>
      </c>
      <c r="P24" s="1" t="s">
        <v>26</v>
      </c>
    </row>
    <row r="25" spans="1:16" x14ac:dyDescent="0.3">
      <c r="A25">
        <v>129152</v>
      </c>
      <c r="B25" s="1" t="s">
        <v>31</v>
      </c>
      <c r="C25" s="1" t="s">
        <v>17</v>
      </c>
      <c r="D25" s="1" t="s">
        <v>18</v>
      </c>
      <c r="E25" s="1" t="s">
        <v>17</v>
      </c>
      <c r="F25">
        <v>2356</v>
      </c>
      <c r="G25" s="1" t="s">
        <v>19</v>
      </c>
      <c r="H25" s="1" t="s">
        <v>117</v>
      </c>
      <c r="I25" s="1" t="s">
        <v>118</v>
      </c>
      <c r="J25" s="1" t="s">
        <v>119</v>
      </c>
      <c r="K25" s="1" t="s">
        <v>120</v>
      </c>
      <c r="L25">
        <v>49.9</v>
      </c>
      <c r="M25" s="1" t="s">
        <v>24</v>
      </c>
      <c r="N25" s="2">
        <v>45341.368280150462</v>
      </c>
      <c r="O25" s="1" t="s">
        <v>25</v>
      </c>
      <c r="P25" s="1" t="s">
        <v>26</v>
      </c>
    </row>
    <row r="26" spans="1:16" x14ac:dyDescent="0.3">
      <c r="A26">
        <v>183243</v>
      </c>
      <c r="B26" s="1" t="s">
        <v>49</v>
      </c>
      <c r="C26" s="1" t="s">
        <v>32</v>
      </c>
      <c r="D26" s="1" t="s">
        <v>18</v>
      </c>
      <c r="E26" s="1" t="s">
        <v>17</v>
      </c>
      <c r="F26">
        <v>1524</v>
      </c>
      <c r="G26" s="1" t="s">
        <v>19</v>
      </c>
      <c r="H26" s="1" t="s">
        <v>121</v>
      </c>
      <c r="I26" s="1" t="s">
        <v>122</v>
      </c>
      <c r="J26" s="1" t="s">
        <v>123</v>
      </c>
      <c r="K26" s="1" t="s">
        <v>124</v>
      </c>
      <c r="L26">
        <v>169</v>
      </c>
      <c r="M26" s="1" t="s">
        <v>24</v>
      </c>
      <c r="N26" s="2">
        <v>45341.368285868055</v>
      </c>
      <c r="O26" s="1" t="s">
        <v>25</v>
      </c>
      <c r="P26" s="1" t="s">
        <v>26</v>
      </c>
    </row>
    <row r="27" spans="1:16" x14ac:dyDescent="0.3">
      <c r="A27">
        <v>198248</v>
      </c>
      <c r="B27" s="1" t="s">
        <v>49</v>
      </c>
      <c r="C27" s="1" t="s">
        <v>32</v>
      </c>
      <c r="D27" s="1" t="s">
        <v>18</v>
      </c>
      <c r="E27" s="1" t="s">
        <v>17</v>
      </c>
      <c r="F27">
        <v>1644</v>
      </c>
      <c r="G27" s="1" t="s">
        <v>19</v>
      </c>
      <c r="H27" s="1" t="s">
        <v>125</v>
      </c>
      <c r="I27" s="1" t="s">
        <v>126</v>
      </c>
      <c r="J27" s="1" t="s">
        <v>127</v>
      </c>
      <c r="K27" s="1" t="s">
        <v>128</v>
      </c>
      <c r="L27">
        <v>69.900000000000006</v>
      </c>
      <c r="M27" s="1" t="s">
        <v>24</v>
      </c>
      <c r="N27" s="2">
        <v>45341.368291516206</v>
      </c>
      <c r="O27" s="1" t="s">
        <v>25</v>
      </c>
      <c r="P27" s="1" t="s">
        <v>26</v>
      </c>
    </row>
    <row r="28" spans="1:16" x14ac:dyDescent="0.3">
      <c r="A28">
        <v>191230</v>
      </c>
      <c r="B28" s="1" t="s">
        <v>31</v>
      </c>
      <c r="C28" s="1" t="s">
        <v>17</v>
      </c>
      <c r="D28" s="1" t="s">
        <v>18</v>
      </c>
      <c r="E28" s="1" t="s">
        <v>17</v>
      </c>
      <c r="F28">
        <v>966</v>
      </c>
      <c r="G28" s="1" t="s">
        <v>19</v>
      </c>
      <c r="H28" s="1" t="s">
        <v>129</v>
      </c>
      <c r="I28" s="1" t="s">
        <v>130</v>
      </c>
      <c r="J28" s="1" t="s">
        <v>131</v>
      </c>
      <c r="K28" s="1" t="s">
        <v>132</v>
      </c>
      <c r="L28">
        <v>89.9</v>
      </c>
      <c r="M28" s="1" t="s">
        <v>24</v>
      </c>
      <c r="N28" s="2">
        <v>45341.36829791667</v>
      </c>
      <c r="O28" s="1" t="s">
        <v>25</v>
      </c>
      <c r="P28" s="1" t="s">
        <v>26</v>
      </c>
    </row>
    <row r="29" spans="1:16" x14ac:dyDescent="0.3">
      <c r="A29">
        <v>187234</v>
      </c>
      <c r="B29" s="1" t="s">
        <v>49</v>
      </c>
      <c r="C29" s="1" t="s">
        <v>32</v>
      </c>
      <c r="D29" s="1" t="s">
        <v>18</v>
      </c>
      <c r="E29" s="1" t="s">
        <v>32</v>
      </c>
      <c r="F29">
        <v>2575</v>
      </c>
      <c r="G29" s="1" t="s">
        <v>19</v>
      </c>
      <c r="H29" s="1" t="s">
        <v>133</v>
      </c>
      <c r="I29" s="1" t="s">
        <v>134</v>
      </c>
      <c r="J29" s="1" t="s">
        <v>135</v>
      </c>
      <c r="K29" s="1" t="s">
        <v>136</v>
      </c>
      <c r="L29">
        <v>59.9</v>
      </c>
      <c r="M29" s="1" t="s">
        <v>24</v>
      </c>
      <c r="N29" s="2">
        <v>45341.368306493052</v>
      </c>
      <c r="O29" s="1" t="s">
        <v>25</v>
      </c>
      <c r="P29" s="1" t="s">
        <v>26</v>
      </c>
    </row>
    <row r="30" spans="1:16" x14ac:dyDescent="0.3">
      <c r="A30">
        <v>148888</v>
      </c>
      <c r="B30" s="1" t="s">
        <v>49</v>
      </c>
      <c r="C30" s="1" t="s">
        <v>17</v>
      </c>
      <c r="D30" s="1" t="s">
        <v>18</v>
      </c>
      <c r="E30" s="1" t="s">
        <v>17</v>
      </c>
      <c r="F30">
        <v>2774</v>
      </c>
      <c r="G30" s="1" t="s">
        <v>19</v>
      </c>
      <c r="H30" s="1" t="s">
        <v>137</v>
      </c>
      <c r="I30" s="1" t="s">
        <v>138</v>
      </c>
      <c r="J30" s="1" t="s">
        <v>139</v>
      </c>
      <c r="K30" s="1" t="s">
        <v>140</v>
      </c>
      <c r="L30">
        <v>109</v>
      </c>
      <c r="M30" s="1" t="s">
        <v>24</v>
      </c>
      <c r="N30" s="2">
        <v>45341.368312453706</v>
      </c>
      <c r="O30" s="1" t="s">
        <v>25</v>
      </c>
      <c r="P30" s="1" t="s">
        <v>26</v>
      </c>
    </row>
    <row r="31" spans="1:16" x14ac:dyDescent="0.3">
      <c r="A31">
        <v>110805</v>
      </c>
      <c r="B31" s="1" t="s">
        <v>49</v>
      </c>
      <c r="C31" s="1" t="s">
        <v>32</v>
      </c>
      <c r="D31" s="1" t="s">
        <v>18</v>
      </c>
      <c r="E31" s="1" t="s">
        <v>17</v>
      </c>
      <c r="F31">
        <v>2477</v>
      </c>
      <c r="G31" s="1" t="s">
        <v>19</v>
      </c>
      <c r="H31" s="1" t="s">
        <v>141</v>
      </c>
      <c r="I31" s="1" t="s">
        <v>142</v>
      </c>
      <c r="J31" s="1" t="s">
        <v>143</v>
      </c>
      <c r="K31" s="1" t="s">
        <v>144</v>
      </c>
      <c r="L31">
        <v>159</v>
      </c>
      <c r="M31" s="1" t="s">
        <v>24</v>
      </c>
      <c r="N31" s="2">
        <v>45341.36831888889</v>
      </c>
      <c r="O31" s="1" t="s">
        <v>25</v>
      </c>
      <c r="P31" s="1" t="s">
        <v>26</v>
      </c>
    </row>
    <row r="32" spans="1:16" x14ac:dyDescent="0.3">
      <c r="A32">
        <v>179801</v>
      </c>
      <c r="B32" s="1" t="s">
        <v>49</v>
      </c>
      <c r="C32" s="1" t="s">
        <v>17</v>
      </c>
      <c r="D32" s="1" t="s">
        <v>18</v>
      </c>
      <c r="E32" s="1" t="s">
        <v>32</v>
      </c>
      <c r="F32">
        <v>2608</v>
      </c>
      <c r="G32" s="1" t="s">
        <v>19</v>
      </c>
      <c r="H32" s="1" t="s">
        <v>145</v>
      </c>
      <c r="I32" s="1" t="s">
        <v>146</v>
      </c>
      <c r="J32" s="1" t="s">
        <v>147</v>
      </c>
      <c r="K32" s="1" t="s">
        <v>148</v>
      </c>
      <c r="L32">
        <v>129</v>
      </c>
      <c r="M32" s="1" t="s">
        <v>24</v>
      </c>
      <c r="N32" s="2">
        <v>45341.368326956021</v>
      </c>
      <c r="O32" s="1" t="s">
        <v>25</v>
      </c>
      <c r="P32" s="1" t="s">
        <v>26</v>
      </c>
    </row>
    <row r="33" spans="1:16" x14ac:dyDescent="0.3">
      <c r="A33">
        <v>134927</v>
      </c>
      <c r="B33" s="1" t="s">
        <v>16</v>
      </c>
      <c r="C33" s="1" t="s">
        <v>32</v>
      </c>
      <c r="D33" s="1" t="s">
        <v>18</v>
      </c>
      <c r="E33" s="1" t="s">
        <v>32</v>
      </c>
      <c r="F33">
        <v>2252</v>
      </c>
      <c r="G33" s="1" t="s">
        <v>19</v>
      </c>
      <c r="H33" s="1" t="s">
        <v>149</v>
      </c>
      <c r="I33" s="1" t="s">
        <v>150</v>
      </c>
      <c r="J33" s="1" t="s">
        <v>131</v>
      </c>
      <c r="K33" s="1" t="s">
        <v>151</v>
      </c>
      <c r="L33">
        <v>129</v>
      </c>
      <c r="M33" s="1" t="s">
        <v>24</v>
      </c>
      <c r="N33" s="2">
        <v>45341.368332511571</v>
      </c>
      <c r="O33" s="1" t="s">
        <v>25</v>
      </c>
      <c r="P33" s="1" t="s">
        <v>26</v>
      </c>
    </row>
    <row r="34" spans="1:16" x14ac:dyDescent="0.3">
      <c r="A34">
        <v>123150</v>
      </c>
      <c r="B34" s="1" t="s">
        <v>31</v>
      </c>
      <c r="C34" s="1" t="s">
        <v>32</v>
      </c>
      <c r="D34" s="1" t="s">
        <v>18</v>
      </c>
      <c r="E34" s="1" t="s">
        <v>17</v>
      </c>
      <c r="F34">
        <v>2074</v>
      </c>
      <c r="G34" s="1" t="s">
        <v>19</v>
      </c>
      <c r="H34" s="1" t="s">
        <v>152</v>
      </c>
      <c r="I34" s="1" t="s">
        <v>153</v>
      </c>
      <c r="J34" s="1" t="s">
        <v>154</v>
      </c>
      <c r="K34" s="1" t="s">
        <v>155</v>
      </c>
      <c r="L34">
        <v>129</v>
      </c>
      <c r="M34" s="1" t="s">
        <v>24</v>
      </c>
      <c r="N34" s="2">
        <v>45341.36833902778</v>
      </c>
      <c r="O34" s="1" t="s">
        <v>25</v>
      </c>
      <c r="P34" s="1" t="s">
        <v>26</v>
      </c>
    </row>
    <row r="35" spans="1:16" x14ac:dyDescent="0.3">
      <c r="A35">
        <v>159145</v>
      </c>
      <c r="B35" s="1" t="s">
        <v>31</v>
      </c>
      <c r="C35" s="1" t="s">
        <v>32</v>
      </c>
      <c r="D35" s="1" t="s">
        <v>18</v>
      </c>
      <c r="E35" s="1" t="s">
        <v>17</v>
      </c>
      <c r="F35">
        <v>2579</v>
      </c>
      <c r="G35" s="1" t="s">
        <v>19</v>
      </c>
      <c r="H35" s="1" t="s">
        <v>156</v>
      </c>
      <c r="I35" s="1" t="s">
        <v>157</v>
      </c>
      <c r="J35" s="1" t="s">
        <v>52</v>
      </c>
      <c r="K35" s="1" t="s">
        <v>158</v>
      </c>
      <c r="L35">
        <v>109</v>
      </c>
      <c r="M35" s="1" t="s">
        <v>24</v>
      </c>
      <c r="N35" s="2">
        <v>45341.368345879629</v>
      </c>
      <c r="O35" s="1" t="s">
        <v>25</v>
      </c>
      <c r="P35" s="1" t="s">
        <v>26</v>
      </c>
    </row>
    <row r="36" spans="1:16" x14ac:dyDescent="0.3">
      <c r="A36">
        <v>172364</v>
      </c>
      <c r="B36" s="1" t="s">
        <v>16</v>
      </c>
      <c r="C36" s="1" t="s">
        <v>32</v>
      </c>
      <c r="D36" s="1" t="s">
        <v>18</v>
      </c>
      <c r="E36" s="1" t="s">
        <v>17</v>
      </c>
      <c r="F36">
        <v>2931</v>
      </c>
      <c r="G36" s="1" t="s">
        <v>19</v>
      </c>
      <c r="H36" s="1" t="s">
        <v>159</v>
      </c>
      <c r="I36" s="1" t="s">
        <v>160</v>
      </c>
      <c r="J36" s="1" t="s">
        <v>127</v>
      </c>
      <c r="K36" s="1" t="s">
        <v>161</v>
      </c>
      <c r="L36">
        <v>109</v>
      </c>
      <c r="M36" s="1" t="s">
        <v>24</v>
      </c>
      <c r="N36" s="2">
        <v>45341.368357731481</v>
      </c>
      <c r="O36" s="1" t="s">
        <v>25</v>
      </c>
      <c r="P36" s="1" t="s">
        <v>26</v>
      </c>
    </row>
    <row r="37" spans="1:16" x14ac:dyDescent="0.3">
      <c r="A37">
        <v>178281</v>
      </c>
      <c r="B37" s="1" t="s">
        <v>31</v>
      </c>
      <c r="C37" s="1" t="s">
        <v>17</v>
      </c>
      <c r="D37" s="1" t="s">
        <v>18</v>
      </c>
      <c r="E37" s="1" t="s">
        <v>32</v>
      </c>
      <c r="F37">
        <v>1145</v>
      </c>
      <c r="G37" s="1" t="s">
        <v>19</v>
      </c>
      <c r="H37" s="1" t="s">
        <v>162</v>
      </c>
      <c r="I37" s="1" t="s">
        <v>163</v>
      </c>
      <c r="J37" s="1" t="s">
        <v>164</v>
      </c>
      <c r="K37" s="1" t="s">
        <v>165</v>
      </c>
      <c r="L37">
        <v>109</v>
      </c>
      <c r="M37" s="1" t="s">
        <v>24</v>
      </c>
      <c r="N37" s="2">
        <v>45341.368372314813</v>
      </c>
      <c r="O37" s="1" t="s">
        <v>25</v>
      </c>
      <c r="P37" s="1" t="s">
        <v>26</v>
      </c>
    </row>
    <row r="38" spans="1:16" x14ac:dyDescent="0.3">
      <c r="A38">
        <v>194339</v>
      </c>
      <c r="B38" s="1" t="s">
        <v>31</v>
      </c>
      <c r="C38" s="1" t="s">
        <v>17</v>
      </c>
      <c r="D38" s="1" t="s">
        <v>18</v>
      </c>
      <c r="E38" s="1" t="s">
        <v>17</v>
      </c>
      <c r="F38">
        <v>1792</v>
      </c>
      <c r="G38" s="1" t="s">
        <v>19</v>
      </c>
      <c r="H38" s="1" t="s">
        <v>166</v>
      </c>
      <c r="I38" s="1" t="s">
        <v>167</v>
      </c>
      <c r="J38" s="1" t="s">
        <v>168</v>
      </c>
      <c r="K38" s="1" t="s">
        <v>169</v>
      </c>
      <c r="L38">
        <v>89.9</v>
      </c>
      <c r="M38" s="1" t="s">
        <v>24</v>
      </c>
      <c r="N38" s="2">
        <v>45341.368379780091</v>
      </c>
      <c r="O38" s="1" t="s">
        <v>25</v>
      </c>
      <c r="P38" s="1" t="s">
        <v>26</v>
      </c>
    </row>
    <row r="39" spans="1:16" x14ac:dyDescent="0.3">
      <c r="A39">
        <v>174412</v>
      </c>
      <c r="B39" s="1" t="s">
        <v>16</v>
      </c>
      <c r="C39" s="1" t="s">
        <v>17</v>
      </c>
      <c r="D39" s="1" t="s">
        <v>18</v>
      </c>
      <c r="E39" s="1" t="s">
        <v>32</v>
      </c>
      <c r="F39">
        <v>1796</v>
      </c>
      <c r="G39" s="1" t="s">
        <v>19</v>
      </c>
      <c r="H39" s="1" t="s">
        <v>170</v>
      </c>
      <c r="I39" s="1" t="s">
        <v>171</v>
      </c>
      <c r="J39" s="1" t="s">
        <v>92</v>
      </c>
      <c r="K39" s="1" t="s">
        <v>172</v>
      </c>
      <c r="L39">
        <v>69.900000000000006</v>
      </c>
      <c r="M39" s="1" t="s">
        <v>24</v>
      </c>
      <c r="N39" s="2">
        <v>45341.368386284725</v>
      </c>
      <c r="O39" s="1" t="s">
        <v>25</v>
      </c>
      <c r="P39" s="1" t="s">
        <v>26</v>
      </c>
    </row>
    <row r="40" spans="1:16" x14ac:dyDescent="0.3">
      <c r="A40">
        <v>114877</v>
      </c>
      <c r="B40" s="1" t="s">
        <v>16</v>
      </c>
      <c r="C40" s="1" t="s">
        <v>17</v>
      </c>
      <c r="D40" s="1" t="s">
        <v>18</v>
      </c>
      <c r="E40" s="1" t="s">
        <v>17</v>
      </c>
      <c r="F40">
        <v>1860</v>
      </c>
      <c r="G40" s="1" t="s">
        <v>19</v>
      </c>
      <c r="H40" s="1" t="s">
        <v>173</v>
      </c>
      <c r="I40" s="1" t="s">
        <v>174</v>
      </c>
      <c r="J40" s="1" t="s">
        <v>175</v>
      </c>
      <c r="K40" s="1" t="s">
        <v>176</v>
      </c>
      <c r="L40">
        <v>349</v>
      </c>
      <c r="M40" s="1" t="s">
        <v>24</v>
      </c>
      <c r="N40" s="2">
        <v>45341.368396956015</v>
      </c>
      <c r="O40" s="1" t="s">
        <v>25</v>
      </c>
      <c r="P40" s="1" t="s">
        <v>26</v>
      </c>
    </row>
    <row r="41" spans="1:16" x14ac:dyDescent="0.3">
      <c r="A41">
        <v>140727</v>
      </c>
      <c r="B41" s="1" t="s">
        <v>31</v>
      </c>
      <c r="C41" s="1" t="s">
        <v>32</v>
      </c>
      <c r="D41" s="1" t="s">
        <v>18</v>
      </c>
      <c r="E41" s="1" t="s">
        <v>32</v>
      </c>
      <c r="F41">
        <v>1002</v>
      </c>
      <c r="G41" s="1" t="s">
        <v>19</v>
      </c>
      <c r="H41" s="1" t="s">
        <v>177</v>
      </c>
      <c r="I41" s="1" t="s">
        <v>178</v>
      </c>
      <c r="J41" s="1" t="s">
        <v>47</v>
      </c>
      <c r="K41" s="1" t="s">
        <v>179</v>
      </c>
      <c r="L41">
        <v>79.900000000000006</v>
      </c>
      <c r="M41" s="1" t="s">
        <v>24</v>
      </c>
      <c r="N41" s="2">
        <v>45341.36841318287</v>
      </c>
      <c r="O41" s="1" t="s">
        <v>25</v>
      </c>
      <c r="P41" s="1" t="s">
        <v>26</v>
      </c>
    </row>
    <row r="42" spans="1:16" x14ac:dyDescent="0.3">
      <c r="A42">
        <v>133109</v>
      </c>
      <c r="B42" s="1" t="s">
        <v>49</v>
      </c>
      <c r="C42" s="1" t="s">
        <v>17</v>
      </c>
      <c r="D42" s="1" t="s">
        <v>18</v>
      </c>
      <c r="E42" s="1" t="s">
        <v>32</v>
      </c>
      <c r="F42">
        <v>2063</v>
      </c>
      <c r="G42" s="1" t="s">
        <v>19</v>
      </c>
      <c r="H42" s="1" t="s">
        <v>180</v>
      </c>
      <c r="I42" s="1" t="s">
        <v>181</v>
      </c>
      <c r="J42" s="1" t="s">
        <v>182</v>
      </c>
      <c r="K42" s="1" t="s">
        <v>183</v>
      </c>
      <c r="L42">
        <v>79.900000000000006</v>
      </c>
      <c r="M42" s="1" t="s">
        <v>24</v>
      </c>
      <c r="N42" s="2">
        <v>45341.368419386577</v>
      </c>
      <c r="O42" s="1" t="s">
        <v>25</v>
      </c>
      <c r="P42" s="1" t="s">
        <v>26</v>
      </c>
    </row>
    <row r="43" spans="1:16" x14ac:dyDescent="0.3">
      <c r="A43">
        <v>127296</v>
      </c>
      <c r="B43" s="1" t="s">
        <v>16</v>
      </c>
      <c r="C43" s="1" t="s">
        <v>17</v>
      </c>
      <c r="D43" s="1" t="s">
        <v>18</v>
      </c>
      <c r="E43" s="1" t="s">
        <v>17</v>
      </c>
      <c r="F43">
        <v>1165</v>
      </c>
      <c r="G43" s="1" t="s">
        <v>19</v>
      </c>
      <c r="H43" s="1" t="s">
        <v>184</v>
      </c>
      <c r="I43" s="1" t="s">
        <v>185</v>
      </c>
      <c r="J43" s="1" t="s">
        <v>186</v>
      </c>
      <c r="K43" s="1" t="s">
        <v>187</v>
      </c>
      <c r="L43">
        <v>89.9</v>
      </c>
      <c r="M43" s="1" t="s">
        <v>24</v>
      </c>
      <c r="N43" s="2">
        <v>45341.368426111112</v>
      </c>
      <c r="O43" s="1" t="s">
        <v>25</v>
      </c>
      <c r="P43" s="1" t="s">
        <v>26</v>
      </c>
    </row>
    <row r="44" spans="1:16" x14ac:dyDescent="0.3">
      <c r="A44">
        <v>133757</v>
      </c>
      <c r="B44" s="1" t="s">
        <v>16</v>
      </c>
      <c r="C44" s="1" t="s">
        <v>32</v>
      </c>
      <c r="D44" s="1" t="s">
        <v>18</v>
      </c>
      <c r="E44" s="1" t="s">
        <v>17</v>
      </c>
      <c r="F44">
        <v>2071</v>
      </c>
      <c r="G44" s="1" t="s">
        <v>19</v>
      </c>
      <c r="H44" s="1" t="s">
        <v>188</v>
      </c>
      <c r="I44" s="1" t="s">
        <v>189</v>
      </c>
      <c r="J44" s="1" t="s">
        <v>190</v>
      </c>
      <c r="K44" s="1" t="s">
        <v>191</v>
      </c>
      <c r="L44">
        <v>129</v>
      </c>
      <c r="M44" s="1" t="s">
        <v>24</v>
      </c>
      <c r="N44" s="2">
        <v>45341.368432071758</v>
      </c>
      <c r="O44" s="1" t="s">
        <v>25</v>
      </c>
      <c r="P44" s="1" t="s">
        <v>26</v>
      </c>
    </row>
    <row r="45" spans="1:16" x14ac:dyDescent="0.3">
      <c r="A45">
        <v>111760</v>
      </c>
      <c r="B45" s="1" t="s">
        <v>31</v>
      </c>
      <c r="C45" s="1" t="s">
        <v>17</v>
      </c>
      <c r="D45" s="1" t="s">
        <v>18</v>
      </c>
      <c r="E45" s="1" t="s">
        <v>17</v>
      </c>
      <c r="F45">
        <v>1474</v>
      </c>
      <c r="G45" s="1" t="s">
        <v>19</v>
      </c>
      <c r="H45" s="1" t="s">
        <v>192</v>
      </c>
      <c r="I45" s="1" t="s">
        <v>193</v>
      </c>
      <c r="J45" s="1" t="s">
        <v>194</v>
      </c>
      <c r="K45" s="1" t="s">
        <v>195</v>
      </c>
      <c r="L45">
        <v>109</v>
      </c>
      <c r="M45" s="1" t="s">
        <v>24</v>
      </c>
      <c r="N45" s="2">
        <v>45341.368439097219</v>
      </c>
      <c r="O45" s="1" t="s">
        <v>25</v>
      </c>
      <c r="P45" s="1" t="s">
        <v>26</v>
      </c>
    </row>
    <row r="46" spans="1:16" x14ac:dyDescent="0.3">
      <c r="A46">
        <v>198375</v>
      </c>
      <c r="B46" s="1" t="s">
        <v>31</v>
      </c>
      <c r="C46" s="1" t="s">
        <v>17</v>
      </c>
      <c r="D46" s="1" t="s">
        <v>18</v>
      </c>
      <c r="E46" s="1" t="s">
        <v>17</v>
      </c>
      <c r="F46">
        <v>2202</v>
      </c>
      <c r="G46" s="1" t="s">
        <v>19</v>
      </c>
      <c r="H46" s="1" t="s">
        <v>196</v>
      </c>
      <c r="I46" s="1" t="s">
        <v>197</v>
      </c>
      <c r="J46" s="1" t="s">
        <v>88</v>
      </c>
      <c r="K46" s="1" t="s">
        <v>198</v>
      </c>
      <c r="L46">
        <v>69.900000000000006</v>
      </c>
      <c r="M46" s="1" t="s">
        <v>24</v>
      </c>
      <c r="N46" s="2">
        <v>45341.368445879627</v>
      </c>
      <c r="O46" s="1" t="s">
        <v>25</v>
      </c>
      <c r="P46" s="1" t="s">
        <v>26</v>
      </c>
    </row>
    <row r="47" spans="1:16" x14ac:dyDescent="0.3">
      <c r="A47">
        <v>168837</v>
      </c>
      <c r="B47" s="1" t="s">
        <v>16</v>
      </c>
      <c r="C47" s="1" t="s">
        <v>17</v>
      </c>
      <c r="D47" s="1" t="s">
        <v>18</v>
      </c>
      <c r="E47" s="1" t="s">
        <v>17</v>
      </c>
      <c r="F47">
        <v>665</v>
      </c>
      <c r="G47" s="1" t="s">
        <v>19</v>
      </c>
      <c r="H47" s="1" t="s">
        <v>199</v>
      </c>
      <c r="I47" s="1" t="s">
        <v>200</v>
      </c>
      <c r="J47" s="1" t="s">
        <v>168</v>
      </c>
      <c r="K47" s="1" t="s">
        <v>169</v>
      </c>
      <c r="L47">
        <v>89.9</v>
      </c>
      <c r="M47" s="1" t="s">
        <v>24</v>
      </c>
      <c r="N47" s="2">
        <v>45341.36845347222</v>
      </c>
      <c r="O47" s="1" t="s">
        <v>25</v>
      </c>
      <c r="P47" s="1" t="s">
        <v>26</v>
      </c>
    </row>
    <row r="48" spans="1:16" x14ac:dyDescent="0.3">
      <c r="A48">
        <v>138505</v>
      </c>
      <c r="B48" s="1" t="s">
        <v>49</v>
      </c>
      <c r="C48" s="1" t="s">
        <v>17</v>
      </c>
      <c r="D48" s="1" t="s">
        <v>18</v>
      </c>
      <c r="E48" s="1" t="s">
        <v>17</v>
      </c>
      <c r="F48">
        <v>2478</v>
      </c>
      <c r="G48" s="1" t="s">
        <v>19</v>
      </c>
      <c r="H48" s="1" t="s">
        <v>201</v>
      </c>
      <c r="I48" s="1" t="s">
        <v>202</v>
      </c>
      <c r="J48" s="1" t="s">
        <v>203</v>
      </c>
      <c r="K48" s="1" t="s">
        <v>204</v>
      </c>
      <c r="L48">
        <v>69.900000000000006</v>
      </c>
      <c r="M48" s="1" t="s">
        <v>24</v>
      </c>
      <c r="N48" s="2">
        <v>45341.368460775462</v>
      </c>
      <c r="O48" s="1" t="s">
        <v>25</v>
      </c>
      <c r="P48" s="1" t="s">
        <v>26</v>
      </c>
    </row>
    <row r="49" spans="1:16" x14ac:dyDescent="0.3">
      <c r="A49">
        <v>116228</v>
      </c>
      <c r="B49" s="1" t="s">
        <v>31</v>
      </c>
      <c r="C49" s="1" t="s">
        <v>32</v>
      </c>
      <c r="D49" s="1" t="s">
        <v>18</v>
      </c>
      <c r="E49" s="1" t="s">
        <v>17</v>
      </c>
      <c r="F49">
        <v>647</v>
      </c>
      <c r="G49" s="1" t="s">
        <v>19</v>
      </c>
      <c r="H49" s="1" t="s">
        <v>205</v>
      </c>
      <c r="I49" s="1" t="s">
        <v>206</v>
      </c>
      <c r="J49" s="1" t="s">
        <v>207</v>
      </c>
      <c r="K49" s="1" t="s">
        <v>208</v>
      </c>
      <c r="L49">
        <v>89.9</v>
      </c>
      <c r="M49" s="1" t="s">
        <v>24</v>
      </c>
      <c r="N49" s="2">
        <v>45341.368466828702</v>
      </c>
      <c r="O49" s="1" t="s">
        <v>25</v>
      </c>
      <c r="P49" s="1" t="s">
        <v>26</v>
      </c>
    </row>
    <row r="50" spans="1:16" x14ac:dyDescent="0.3">
      <c r="A50">
        <v>167592</v>
      </c>
      <c r="B50" s="1" t="s">
        <v>49</v>
      </c>
      <c r="C50" s="1" t="s">
        <v>32</v>
      </c>
      <c r="D50" s="1" t="s">
        <v>18</v>
      </c>
      <c r="E50" s="1" t="s">
        <v>17</v>
      </c>
      <c r="F50">
        <v>707</v>
      </c>
      <c r="G50" s="1" t="s">
        <v>19</v>
      </c>
      <c r="H50" s="1" t="s">
        <v>209</v>
      </c>
      <c r="I50" s="1" t="s">
        <v>210</v>
      </c>
      <c r="J50" s="1" t="s">
        <v>211</v>
      </c>
      <c r="K50" s="1" t="s">
        <v>212</v>
      </c>
      <c r="L50">
        <v>89.9</v>
      </c>
      <c r="M50" s="1" t="s">
        <v>24</v>
      </c>
      <c r="N50" s="2">
        <v>45341.368475439813</v>
      </c>
      <c r="O50" s="1" t="s">
        <v>25</v>
      </c>
      <c r="P50" s="1" t="s">
        <v>26</v>
      </c>
    </row>
    <row r="51" spans="1:16" x14ac:dyDescent="0.3">
      <c r="A51">
        <v>133100</v>
      </c>
      <c r="B51" s="1" t="s">
        <v>31</v>
      </c>
      <c r="C51" s="1" t="s">
        <v>32</v>
      </c>
      <c r="D51" s="1" t="s">
        <v>18</v>
      </c>
      <c r="E51" s="1" t="s">
        <v>17</v>
      </c>
      <c r="F51">
        <v>2729</v>
      </c>
      <c r="G51" s="1" t="s">
        <v>19</v>
      </c>
      <c r="H51" s="1" t="s">
        <v>213</v>
      </c>
      <c r="I51" s="1" t="s">
        <v>214</v>
      </c>
      <c r="J51" s="1" t="s">
        <v>215</v>
      </c>
      <c r="K51" s="1" t="s">
        <v>216</v>
      </c>
      <c r="L51">
        <v>89.9</v>
      </c>
      <c r="M51" s="1" t="s">
        <v>24</v>
      </c>
      <c r="N51" s="2">
        <v>45341.368486828702</v>
      </c>
      <c r="O51" s="1" t="s">
        <v>25</v>
      </c>
      <c r="P51" s="1" t="s">
        <v>26</v>
      </c>
    </row>
    <row r="52" spans="1:16" x14ac:dyDescent="0.3">
      <c r="A52">
        <v>119955</v>
      </c>
      <c r="B52" s="1" t="s">
        <v>49</v>
      </c>
      <c r="C52" s="1" t="s">
        <v>17</v>
      </c>
      <c r="D52" s="1" t="s">
        <v>18</v>
      </c>
      <c r="E52" s="1" t="s">
        <v>17</v>
      </c>
      <c r="F52">
        <v>1590</v>
      </c>
      <c r="G52" s="1" t="s">
        <v>19</v>
      </c>
      <c r="H52" s="1" t="s">
        <v>217</v>
      </c>
      <c r="I52" s="1" t="s">
        <v>218</v>
      </c>
      <c r="J52" s="1" t="s">
        <v>164</v>
      </c>
      <c r="K52" s="1" t="s">
        <v>219</v>
      </c>
      <c r="L52">
        <v>89.9</v>
      </c>
      <c r="M52" s="1" t="s">
        <v>24</v>
      </c>
      <c r="N52" s="2">
        <v>45341.368495104165</v>
      </c>
      <c r="O52" s="1" t="s">
        <v>25</v>
      </c>
      <c r="P52" s="1" t="s">
        <v>26</v>
      </c>
    </row>
    <row r="53" spans="1:16" x14ac:dyDescent="0.3">
      <c r="A53">
        <v>189349</v>
      </c>
      <c r="B53" s="1" t="s">
        <v>31</v>
      </c>
      <c r="C53" s="1" t="s">
        <v>32</v>
      </c>
      <c r="D53" s="1" t="s">
        <v>18</v>
      </c>
      <c r="E53" s="1" t="s">
        <v>17</v>
      </c>
      <c r="F53">
        <v>1245</v>
      </c>
      <c r="G53" s="1" t="s">
        <v>19</v>
      </c>
      <c r="H53" s="1" t="s">
        <v>220</v>
      </c>
      <c r="I53" s="1" t="s">
        <v>221</v>
      </c>
      <c r="J53" s="1" t="s">
        <v>222</v>
      </c>
      <c r="K53" s="1" t="s">
        <v>223</v>
      </c>
      <c r="L53">
        <v>89.9</v>
      </c>
      <c r="M53" s="1" t="s">
        <v>24</v>
      </c>
      <c r="N53" s="2">
        <v>45341.368503182872</v>
      </c>
      <c r="O53" s="1" t="s">
        <v>25</v>
      </c>
      <c r="P53" s="1" t="s">
        <v>26</v>
      </c>
    </row>
    <row r="54" spans="1:16" x14ac:dyDescent="0.3">
      <c r="A54">
        <v>127478</v>
      </c>
      <c r="B54" s="1" t="s">
        <v>49</v>
      </c>
      <c r="C54" s="1" t="s">
        <v>17</v>
      </c>
      <c r="D54" s="1" t="s">
        <v>18</v>
      </c>
      <c r="E54" s="1" t="s">
        <v>32</v>
      </c>
      <c r="F54">
        <v>2498</v>
      </c>
      <c r="G54" s="1" t="s">
        <v>19</v>
      </c>
      <c r="H54" s="1" t="s">
        <v>224</v>
      </c>
      <c r="I54" s="1" t="s">
        <v>225</v>
      </c>
      <c r="J54" s="1" t="s">
        <v>226</v>
      </c>
      <c r="K54" s="1" t="s">
        <v>227</v>
      </c>
      <c r="L54">
        <v>129</v>
      </c>
      <c r="M54" s="1" t="s">
        <v>24</v>
      </c>
      <c r="N54" s="2">
        <v>45341.368508634259</v>
      </c>
      <c r="O54" s="1" t="s">
        <v>25</v>
      </c>
      <c r="P54" s="1" t="s">
        <v>26</v>
      </c>
    </row>
    <row r="55" spans="1:16" x14ac:dyDescent="0.3">
      <c r="A55">
        <v>180661</v>
      </c>
      <c r="B55" s="1" t="s">
        <v>49</v>
      </c>
      <c r="C55" s="1" t="s">
        <v>17</v>
      </c>
      <c r="D55" s="1" t="s">
        <v>18</v>
      </c>
      <c r="E55" s="1" t="s">
        <v>32</v>
      </c>
      <c r="F55">
        <v>1041</v>
      </c>
      <c r="G55" s="1" t="s">
        <v>19</v>
      </c>
      <c r="H55" s="1" t="s">
        <v>228</v>
      </c>
      <c r="I55" s="1" t="s">
        <v>229</v>
      </c>
      <c r="J55" s="1" t="s">
        <v>230</v>
      </c>
      <c r="K55" s="1" t="s">
        <v>231</v>
      </c>
      <c r="L55">
        <v>129</v>
      </c>
      <c r="M55" s="1" t="s">
        <v>24</v>
      </c>
      <c r="N55" s="2">
        <v>45341.368514907408</v>
      </c>
      <c r="O55" s="1" t="s">
        <v>25</v>
      </c>
      <c r="P55" s="1" t="s">
        <v>26</v>
      </c>
    </row>
    <row r="56" spans="1:16" x14ac:dyDescent="0.3">
      <c r="A56">
        <v>186681</v>
      </c>
      <c r="B56" s="1" t="s">
        <v>31</v>
      </c>
      <c r="C56" s="1" t="s">
        <v>17</v>
      </c>
      <c r="D56" s="1" t="s">
        <v>18</v>
      </c>
      <c r="E56" s="1" t="s">
        <v>32</v>
      </c>
      <c r="F56">
        <v>1717</v>
      </c>
      <c r="G56" s="1" t="s">
        <v>19</v>
      </c>
      <c r="H56" s="1" t="s">
        <v>232</v>
      </c>
      <c r="I56" s="1" t="s">
        <v>233</v>
      </c>
      <c r="J56" s="1" t="s">
        <v>234</v>
      </c>
      <c r="K56" s="1" t="s">
        <v>235</v>
      </c>
      <c r="L56">
        <v>19.989999999999998</v>
      </c>
      <c r="M56" s="1" t="s">
        <v>24</v>
      </c>
      <c r="N56" s="2">
        <v>45341.368520983793</v>
      </c>
      <c r="O56" s="1" t="s">
        <v>25</v>
      </c>
      <c r="P56" s="1" t="s">
        <v>26</v>
      </c>
    </row>
    <row r="57" spans="1:16" x14ac:dyDescent="0.3">
      <c r="A57">
        <v>133183</v>
      </c>
      <c r="B57" s="1" t="s">
        <v>49</v>
      </c>
      <c r="C57" s="1" t="s">
        <v>32</v>
      </c>
      <c r="D57" s="1" t="s">
        <v>18</v>
      </c>
      <c r="E57" s="1" t="s">
        <v>32</v>
      </c>
      <c r="F57">
        <v>2859</v>
      </c>
      <c r="G57" s="1" t="s">
        <v>19</v>
      </c>
      <c r="H57" s="1" t="s">
        <v>236</v>
      </c>
      <c r="I57" s="1" t="s">
        <v>237</v>
      </c>
      <c r="J57" s="1" t="s">
        <v>238</v>
      </c>
      <c r="K57" s="1" t="s">
        <v>239</v>
      </c>
      <c r="L57">
        <v>89.9</v>
      </c>
      <c r="M57" s="1" t="s">
        <v>24</v>
      </c>
      <c r="N57" s="2">
        <v>45341.36852891204</v>
      </c>
      <c r="O57" s="1" t="s">
        <v>25</v>
      </c>
      <c r="P57" s="1" t="s">
        <v>26</v>
      </c>
    </row>
    <row r="58" spans="1:16" x14ac:dyDescent="0.3">
      <c r="A58">
        <v>173508</v>
      </c>
      <c r="B58" s="1" t="s">
        <v>16</v>
      </c>
      <c r="C58" s="1" t="s">
        <v>32</v>
      </c>
      <c r="D58" s="1" t="s">
        <v>18</v>
      </c>
      <c r="E58" s="1" t="s">
        <v>17</v>
      </c>
      <c r="F58">
        <v>1658</v>
      </c>
      <c r="G58" s="1" t="s">
        <v>19</v>
      </c>
      <c r="H58" s="1" t="s">
        <v>240</v>
      </c>
      <c r="I58" s="1" t="s">
        <v>241</v>
      </c>
      <c r="J58" s="1" t="s">
        <v>242</v>
      </c>
      <c r="K58" s="1" t="s">
        <v>243</v>
      </c>
      <c r="L58">
        <v>129</v>
      </c>
      <c r="M58" s="1" t="s">
        <v>24</v>
      </c>
      <c r="N58" s="2">
        <v>45341.368535034722</v>
      </c>
      <c r="O58" s="1" t="s">
        <v>25</v>
      </c>
      <c r="P58" s="1" t="s">
        <v>26</v>
      </c>
    </row>
    <row r="59" spans="1:16" x14ac:dyDescent="0.3">
      <c r="A59">
        <v>187930</v>
      </c>
      <c r="B59" s="1" t="s">
        <v>31</v>
      </c>
      <c r="C59" s="1" t="s">
        <v>17</v>
      </c>
      <c r="D59" s="1" t="s">
        <v>18</v>
      </c>
      <c r="E59" s="1" t="s">
        <v>32</v>
      </c>
      <c r="F59">
        <v>706</v>
      </c>
      <c r="G59" s="1" t="s">
        <v>19</v>
      </c>
      <c r="H59" s="1" t="s">
        <v>244</v>
      </c>
      <c r="I59" s="1" t="s">
        <v>245</v>
      </c>
      <c r="J59" s="1" t="s">
        <v>246</v>
      </c>
      <c r="K59" s="1" t="s">
        <v>247</v>
      </c>
      <c r="L59">
        <v>89.9</v>
      </c>
      <c r="M59" s="1" t="s">
        <v>24</v>
      </c>
      <c r="N59" s="2">
        <v>45341.368541018521</v>
      </c>
      <c r="O59" s="1" t="s">
        <v>25</v>
      </c>
      <c r="P59" s="1" t="s">
        <v>26</v>
      </c>
    </row>
    <row r="60" spans="1:16" x14ac:dyDescent="0.3">
      <c r="A60">
        <v>124088</v>
      </c>
      <c r="B60" s="1" t="s">
        <v>31</v>
      </c>
      <c r="C60" s="1" t="s">
        <v>32</v>
      </c>
      <c r="D60" s="1" t="s">
        <v>18</v>
      </c>
      <c r="E60" s="1" t="s">
        <v>32</v>
      </c>
      <c r="F60">
        <v>2065</v>
      </c>
      <c r="G60" s="1" t="s">
        <v>19</v>
      </c>
      <c r="H60" s="1" t="s">
        <v>248</v>
      </c>
      <c r="I60" s="1" t="s">
        <v>249</v>
      </c>
      <c r="J60" s="1" t="s">
        <v>250</v>
      </c>
      <c r="K60" s="1" t="s">
        <v>251</v>
      </c>
      <c r="L60">
        <v>79.900000000000006</v>
      </c>
      <c r="M60" s="1" t="s">
        <v>24</v>
      </c>
      <c r="N60" s="2">
        <v>45341.368548946761</v>
      </c>
      <c r="O60" s="1" t="s">
        <v>25</v>
      </c>
      <c r="P60" s="1" t="s">
        <v>26</v>
      </c>
    </row>
    <row r="61" spans="1:16" x14ac:dyDescent="0.3">
      <c r="A61">
        <v>190238</v>
      </c>
      <c r="B61" s="1" t="s">
        <v>49</v>
      </c>
      <c r="C61" s="1" t="s">
        <v>17</v>
      </c>
      <c r="D61" s="1" t="s">
        <v>18</v>
      </c>
      <c r="E61" s="1" t="s">
        <v>32</v>
      </c>
      <c r="F61">
        <v>1917</v>
      </c>
      <c r="G61" s="1" t="s">
        <v>19</v>
      </c>
      <c r="H61" s="1" t="s">
        <v>252</v>
      </c>
      <c r="I61" s="1" t="s">
        <v>253</v>
      </c>
      <c r="J61" s="1" t="s">
        <v>254</v>
      </c>
      <c r="K61" s="1" t="s">
        <v>255</v>
      </c>
      <c r="L61">
        <v>89.9</v>
      </c>
      <c r="M61" s="1" t="s">
        <v>24</v>
      </c>
      <c r="N61" s="2">
        <v>45341.368554016204</v>
      </c>
      <c r="O61" s="1" t="s">
        <v>25</v>
      </c>
      <c r="P61" s="1" t="s">
        <v>26</v>
      </c>
    </row>
    <row r="62" spans="1:16" x14ac:dyDescent="0.3">
      <c r="A62">
        <v>151925</v>
      </c>
      <c r="B62" s="1" t="s">
        <v>31</v>
      </c>
      <c r="C62" s="1" t="s">
        <v>32</v>
      </c>
      <c r="D62" s="1" t="s">
        <v>18</v>
      </c>
      <c r="E62" s="1" t="s">
        <v>32</v>
      </c>
      <c r="F62">
        <v>2179</v>
      </c>
      <c r="G62" s="1" t="s">
        <v>19</v>
      </c>
      <c r="H62" s="1" t="s">
        <v>256</v>
      </c>
      <c r="I62" s="1" t="s">
        <v>257</v>
      </c>
      <c r="J62" s="1" t="s">
        <v>258</v>
      </c>
      <c r="K62" s="1" t="s">
        <v>259</v>
      </c>
      <c r="L62">
        <v>299</v>
      </c>
      <c r="M62" s="1" t="s">
        <v>24</v>
      </c>
      <c r="N62" s="2">
        <v>45341.368559525465</v>
      </c>
      <c r="O62" s="1" t="s">
        <v>25</v>
      </c>
      <c r="P62" s="1" t="s">
        <v>26</v>
      </c>
    </row>
    <row r="63" spans="1:16" x14ac:dyDescent="0.3">
      <c r="A63">
        <v>163234</v>
      </c>
      <c r="B63" s="1" t="s">
        <v>49</v>
      </c>
      <c r="C63" s="1" t="s">
        <v>17</v>
      </c>
      <c r="D63" s="1" t="s">
        <v>18</v>
      </c>
      <c r="E63" s="1" t="s">
        <v>17</v>
      </c>
      <c r="F63">
        <v>1633</v>
      </c>
      <c r="G63" s="1" t="s">
        <v>19</v>
      </c>
      <c r="H63" s="1" t="s">
        <v>260</v>
      </c>
      <c r="I63" s="1" t="s">
        <v>261</v>
      </c>
      <c r="J63" s="1" t="s">
        <v>262</v>
      </c>
      <c r="K63" s="1" t="s">
        <v>263</v>
      </c>
      <c r="L63">
        <v>89.9</v>
      </c>
      <c r="M63" s="1" t="s">
        <v>24</v>
      </c>
      <c r="N63" s="2">
        <v>45341.368566273151</v>
      </c>
      <c r="O63" s="1" t="s">
        <v>25</v>
      </c>
      <c r="P63" s="1" t="s">
        <v>26</v>
      </c>
    </row>
    <row r="64" spans="1:16" x14ac:dyDescent="0.3">
      <c r="A64">
        <v>135610</v>
      </c>
      <c r="B64" s="1" t="s">
        <v>16</v>
      </c>
      <c r="C64" s="1" t="s">
        <v>32</v>
      </c>
      <c r="D64" s="1" t="s">
        <v>18</v>
      </c>
      <c r="E64" s="1" t="s">
        <v>32</v>
      </c>
      <c r="F64">
        <v>1513</v>
      </c>
      <c r="G64" s="1" t="s">
        <v>19</v>
      </c>
      <c r="H64" s="1" t="s">
        <v>264</v>
      </c>
      <c r="I64" s="1" t="s">
        <v>265</v>
      </c>
      <c r="J64" s="1" t="s">
        <v>266</v>
      </c>
      <c r="K64" s="1" t="s">
        <v>267</v>
      </c>
      <c r="L64">
        <v>109</v>
      </c>
      <c r="M64" s="1" t="s">
        <v>24</v>
      </c>
      <c r="N64" s="2">
        <v>45341.368576782406</v>
      </c>
      <c r="O64" s="1" t="s">
        <v>25</v>
      </c>
      <c r="P64" s="1" t="s">
        <v>26</v>
      </c>
    </row>
    <row r="65" spans="1:16" x14ac:dyDescent="0.3">
      <c r="A65">
        <v>117065</v>
      </c>
      <c r="B65" s="1" t="s">
        <v>16</v>
      </c>
      <c r="C65" s="1" t="s">
        <v>32</v>
      </c>
      <c r="D65" s="1" t="s">
        <v>18</v>
      </c>
      <c r="E65" s="1" t="s">
        <v>32</v>
      </c>
      <c r="F65">
        <v>758</v>
      </c>
      <c r="G65" s="1" t="s">
        <v>19</v>
      </c>
      <c r="H65" s="1" t="s">
        <v>268</v>
      </c>
      <c r="I65" s="1" t="s">
        <v>269</v>
      </c>
      <c r="J65" s="1" t="s">
        <v>270</v>
      </c>
      <c r="K65" s="1" t="s">
        <v>271</v>
      </c>
      <c r="L65">
        <v>109</v>
      </c>
      <c r="M65" s="1" t="s">
        <v>24</v>
      </c>
      <c r="N65" s="2">
        <v>45341.368585752316</v>
      </c>
      <c r="O65" s="1" t="s">
        <v>25</v>
      </c>
      <c r="P65" s="1" t="s">
        <v>26</v>
      </c>
    </row>
    <row r="66" spans="1:16" x14ac:dyDescent="0.3">
      <c r="A66">
        <v>149315</v>
      </c>
      <c r="B66" s="1" t="s">
        <v>31</v>
      </c>
      <c r="C66" s="1" t="s">
        <v>32</v>
      </c>
      <c r="D66" s="1" t="s">
        <v>18</v>
      </c>
      <c r="E66" s="1" t="s">
        <v>17</v>
      </c>
      <c r="F66">
        <v>718</v>
      </c>
      <c r="G66" s="1" t="s">
        <v>19</v>
      </c>
      <c r="H66" s="1" t="s">
        <v>272</v>
      </c>
      <c r="I66" s="1" t="s">
        <v>273</v>
      </c>
      <c r="J66" s="1" t="s">
        <v>274</v>
      </c>
      <c r="K66" s="1" t="s">
        <v>275</v>
      </c>
      <c r="L66">
        <v>109</v>
      </c>
      <c r="M66" s="1" t="s">
        <v>24</v>
      </c>
      <c r="N66" s="2">
        <v>45341.36859096065</v>
      </c>
      <c r="O66" s="1" t="s">
        <v>25</v>
      </c>
      <c r="P66" s="1" t="s">
        <v>26</v>
      </c>
    </row>
    <row r="67" spans="1:16" x14ac:dyDescent="0.3">
      <c r="A67">
        <v>149510</v>
      </c>
      <c r="B67" s="1" t="s">
        <v>16</v>
      </c>
      <c r="C67" s="1" t="s">
        <v>17</v>
      </c>
      <c r="D67" s="1" t="s">
        <v>18</v>
      </c>
      <c r="E67" s="1" t="s">
        <v>32</v>
      </c>
      <c r="F67">
        <v>1412</v>
      </c>
      <c r="G67" s="1" t="s">
        <v>19</v>
      </c>
      <c r="H67" s="1" t="s">
        <v>276</v>
      </c>
      <c r="I67" s="1" t="s">
        <v>277</v>
      </c>
      <c r="J67" s="1" t="s">
        <v>278</v>
      </c>
      <c r="K67" s="1" t="s">
        <v>279</v>
      </c>
      <c r="L67">
        <v>59.9</v>
      </c>
      <c r="M67" s="1" t="s">
        <v>24</v>
      </c>
      <c r="N67" s="2">
        <v>45341.368602476854</v>
      </c>
      <c r="O67" s="1" t="s">
        <v>25</v>
      </c>
      <c r="P67" s="1" t="s">
        <v>26</v>
      </c>
    </row>
    <row r="68" spans="1:16" x14ac:dyDescent="0.3">
      <c r="A68">
        <v>137990</v>
      </c>
      <c r="B68" s="1" t="s">
        <v>16</v>
      </c>
      <c r="C68" s="1" t="s">
        <v>17</v>
      </c>
      <c r="D68" s="1" t="s">
        <v>18</v>
      </c>
      <c r="E68" s="1" t="s">
        <v>17</v>
      </c>
      <c r="F68">
        <v>2929</v>
      </c>
      <c r="G68" s="1" t="s">
        <v>19</v>
      </c>
      <c r="H68" s="1" t="s">
        <v>280</v>
      </c>
      <c r="I68" s="1" t="s">
        <v>281</v>
      </c>
      <c r="J68" s="1" t="s">
        <v>282</v>
      </c>
      <c r="K68" s="1" t="s">
        <v>283</v>
      </c>
      <c r="L68">
        <v>29.99</v>
      </c>
      <c r="M68" s="1" t="s">
        <v>24</v>
      </c>
      <c r="N68" s="2">
        <v>45341.368633564816</v>
      </c>
      <c r="O68" s="1" t="s">
        <v>25</v>
      </c>
      <c r="P68" s="1" t="s">
        <v>26</v>
      </c>
    </row>
    <row r="69" spans="1:16" x14ac:dyDescent="0.3">
      <c r="A69">
        <v>154016</v>
      </c>
      <c r="B69" s="1" t="s">
        <v>31</v>
      </c>
      <c r="C69" s="1" t="s">
        <v>32</v>
      </c>
      <c r="D69" s="1" t="s">
        <v>18</v>
      </c>
      <c r="E69" s="1" t="s">
        <v>32</v>
      </c>
      <c r="F69">
        <v>2366</v>
      </c>
      <c r="G69" s="1" t="s">
        <v>19</v>
      </c>
      <c r="H69" s="1" t="s">
        <v>284</v>
      </c>
      <c r="I69" s="1" t="s">
        <v>285</v>
      </c>
      <c r="J69" s="1" t="s">
        <v>286</v>
      </c>
      <c r="K69" s="1" t="s">
        <v>287</v>
      </c>
      <c r="L69">
        <v>189</v>
      </c>
      <c r="M69" s="1" t="s">
        <v>24</v>
      </c>
      <c r="N69" s="2">
        <v>45341.368619120367</v>
      </c>
      <c r="O69" s="1" t="s">
        <v>25</v>
      </c>
      <c r="P69" s="1" t="s">
        <v>26</v>
      </c>
    </row>
    <row r="70" spans="1:16" x14ac:dyDescent="0.3">
      <c r="A70">
        <v>117751</v>
      </c>
      <c r="B70" s="1" t="s">
        <v>16</v>
      </c>
      <c r="C70" s="1" t="s">
        <v>17</v>
      </c>
      <c r="D70" s="1" t="s">
        <v>18</v>
      </c>
      <c r="E70" s="1" t="s">
        <v>17</v>
      </c>
      <c r="F70">
        <v>2749</v>
      </c>
      <c r="G70" s="1" t="s">
        <v>19</v>
      </c>
      <c r="H70" s="1" t="s">
        <v>288</v>
      </c>
      <c r="I70" s="1" t="s">
        <v>289</v>
      </c>
      <c r="J70" s="1" t="s">
        <v>290</v>
      </c>
      <c r="K70" s="1" t="s">
        <v>291</v>
      </c>
      <c r="L70">
        <v>89.9</v>
      </c>
      <c r="M70" s="1" t="s">
        <v>24</v>
      </c>
      <c r="N70" s="2">
        <v>45341.368648148149</v>
      </c>
      <c r="O70" s="1" t="s">
        <v>25</v>
      </c>
      <c r="P70" s="1" t="s">
        <v>26</v>
      </c>
    </row>
    <row r="71" spans="1:16" x14ac:dyDescent="0.3">
      <c r="A71">
        <v>182362</v>
      </c>
      <c r="B71" s="1" t="s">
        <v>49</v>
      </c>
      <c r="C71" s="1" t="s">
        <v>17</v>
      </c>
      <c r="D71" s="1" t="s">
        <v>18</v>
      </c>
      <c r="E71" s="1" t="s">
        <v>17</v>
      </c>
      <c r="F71">
        <v>2019</v>
      </c>
      <c r="G71" s="1" t="s">
        <v>19</v>
      </c>
      <c r="H71" s="1" t="s">
        <v>292</v>
      </c>
      <c r="I71" s="1" t="s">
        <v>293</v>
      </c>
      <c r="J71" s="1" t="s">
        <v>294</v>
      </c>
      <c r="K71" s="1" t="s">
        <v>295</v>
      </c>
      <c r="L71">
        <v>69.900000000000006</v>
      </c>
      <c r="M71" s="1" t="s">
        <v>24</v>
      </c>
      <c r="N71" s="2">
        <v>45341.368654062499</v>
      </c>
      <c r="O71" s="1" t="s">
        <v>25</v>
      </c>
      <c r="P71" s="1" t="s">
        <v>26</v>
      </c>
    </row>
    <row r="72" spans="1:16" x14ac:dyDescent="0.3">
      <c r="A72">
        <v>117725</v>
      </c>
      <c r="B72" s="1" t="s">
        <v>16</v>
      </c>
      <c r="C72" s="1" t="s">
        <v>17</v>
      </c>
      <c r="D72" s="1" t="s">
        <v>18</v>
      </c>
      <c r="E72" s="1" t="s">
        <v>32</v>
      </c>
      <c r="F72">
        <v>1506</v>
      </c>
      <c r="G72" s="1" t="s">
        <v>19</v>
      </c>
      <c r="H72" s="1" t="s">
        <v>296</v>
      </c>
      <c r="I72" s="1" t="s">
        <v>297</v>
      </c>
      <c r="J72" s="1" t="s">
        <v>298</v>
      </c>
      <c r="K72" s="1" t="s">
        <v>299</v>
      </c>
      <c r="L72">
        <v>109</v>
      </c>
      <c r="M72" s="1" t="s">
        <v>24</v>
      </c>
      <c r="N72" s="2">
        <v>45341.368659791668</v>
      </c>
      <c r="O72" s="1" t="s">
        <v>25</v>
      </c>
      <c r="P72" s="1" t="s">
        <v>26</v>
      </c>
    </row>
    <row r="73" spans="1:16" x14ac:dyDescent="0.3">
      <c r="A73">
        <v>145289</v>
      </c>
      <c r="B73" s="1" t="s">
        <v>31</v>
      </c>
      <c r="C73" s="1" t="s">
        <v>17</v>
      </c>
      <c r="D73" s="1" t="s">
        <v>18</v>
      </c>
      <c r="E73" s="1" t="s">
        <v>17</v>
      </c>
      <c r="F73">
        <v>1012</v>
      </c>
      <c r="G73" s="1" t="s">
        <v>19</v>
      </c>
      <c r="H73" s="1" t="s">
        <v>300</v>
      </c>
      <c r="I73" s="1" t="s">
        <v>301</v>
      </c>
      <c r="J73" s="1" t="s">
        <v>302</v>
      </c>
      <c r="K73" s="1" t="s">
        <v>303</v>
      </c>
      <c r="L73">
        <v>109</v>
      </c>
      <c r="M73" s="1" t="s">
        <v>24</v>
      </c>
      <c r="N73" s="2">
        <v>45341.368665879629</v>
      </c>
      <c r="O73" s="1" t="s">
        <v>25</v>
      </c>
      <c r="P73" s="1" t="s">
        <v>26</v>
      </c>
    </row>
    <row r="74" spans="1:16" x14ac:dyDescent="0.3">
      <c r="A74">
        <v>173576</v>
      </c>
      <c r="B74" s="1" t="s">
        <v>31</v>
      </c>
      <c r="C74" s="1" t="s">
        <v>32</v>
      </c>
      <c r="D74" s="1" t="s">
        <v>18</v>
      </c>
      <c r="E74" s="1" t="s">
        <v>17</v>
      </c>
      <c r="F74">
        <v>1838</v>
      </c>
      <c r="G74" s="1" t="s">
        <v>19</v>
      </c>
      <c r="H74" s="1" t="s">
        <v>304</v>
      </c>
      <c r="I74" s="1" t="s">
        <v>305</v>
      </c>
      <c r="J74" s="1" t="s">
        <v>259</v>
      </c>
      <c r="K74" s="1" t="s">
        <v>259</v>
      </c>
      <c r="L74">
        <v>129</v>
      </c>
      <c r="M74" s="1" t="s">
        <v>24</v>
      </c>
      <c r="N74" s="2">
        <v>45341.368686064816</v>
      </c>
      <c r="O74" s="1" t="s">
        <v>25</v>
      </c>
      <c r="P74" s="1" t="s">
        <v>26</v>
      </c>
    </row>
    <row r="75" spans="1:16" x14ac:dyDescent="0.3">
      <c r="A75">
        <v>175059</v>
      </c>
      <c r="B75" s="1" t="s">
        <v>16</v>
      </c>
      <c r="C75" s="1" t="s">
        <v>32</v>
      </c>
      <c r="D75" s="1" t="s">
        <v>18</v>
      </c>
      <c r="E75" s="1" t="s">
        <v>17</v>
      </c>
      <c r="F75">
        <v>2170</v>
      </c>
      <c r="G75" s="1" t="s">
        <v>19</v>
      </c>
      <c r="H75" s="1" t="s">
        <v>306</v>
      </c>
      <c r="I75" s="1" t="s">
        <v>307</v>
      </c>
      <c r="J75" s="1" t="s">
        <v>119</v>
      </c>
      <c r="K75" s="1" t="s">
        <v>120</v>
      </c>
      <c r="L75">
        <v>49.9</v>
      </c>
      <c r="M75" s="1" t="s">
        <v>24</v>
      </c>
      <c r="N75" s="2">
        <v>45341.368691284719</v>
      </c>
      <c r="O75" s="1" t="s">
        <v>25</v>
      </c>
      <c r="P75" s="1" t="s">
        <v>26</v>
      </c>
    </row>
    <row r="76" spans="1:16" x14ac:dyDescent="0.3">
      <c r="A76">
        <v>199368</v>
      </c>
      <c r="B76" s="1" t="s">
        <v>49</v>
      </c>
      <c r="C76" s="1" t="s">
        <v>17</v>
      </c>
      <c r="D76" s="1" t="s">
        <v>18</v>
      </c>
      <c r="E76" s="1" t="s">
        <v>32</v>
      </c>
      <c r="F76">
        <v>1061</v>
      </c>
      <c r="G76" s="1" t="s">
        <v>19</v>
      </c>
      <c r="H76" s="1" t="s">
        <v>308</v>
      </c>
      <c r="I76" s="1" t="s">
        <v>309</v>
      </c>
      <c r="J76" s="1" t="s">
        <v>266</v>
      </c>
      <c r="K76" s="1" t="s">
        <v>310</v>
      </c>
      <c r="L76">
        <v>139</v>
      </c>
      <c r="M76" s="1" t="s">
        <v>24</v>
      </c>
      <c r="N76" s="2">
        <v>45341.368697395832</v>
      </c>
      <c r="O76" s="1" t="s">
        <v>25</v>
      </c>
      <c r="P76" s="1" t="s">
        <v>26</v>
      </c>
    </row>
    <row r="77" spans="1:16" x14ac:dyDescent="0.3">
      <c r="A77">
        <v>162883</v>
      </c>
      <c r="B77" s="1" t="s">
        <v>49</v>
      </c>
      <c r="C77" s="1" t="s">
        <v>32</v>
      </c>
      <c r="D77" s="1" t="s">
        <v>18</v>
      </c>
      <c r="E77" s="1" t="s">
        <v>17</v>
      </c>
      <c r="F77">
        <v>786</v>
      </c>
      <c r="G77" s="1" t="s">
        <v>19</v>
      </c>
      <c r="H77" s="1" t="s">
        <v>311</v>
      </c>
      <c r="I77" s="1" t="s">
        <v>312</v>
      </c>
      <c r="J77" s="1" t="s">
        <v>313</v>
      </c>
      <c r="K77" s="1" t="s">
        <v>314</v>
      </c>
      <c r="L77">
        <v>139</v>
      </c>
      <c r="M77" s="1" t="s">
        <v>24</v>
      </c>
      <c r="N77" s="2">
        <v>45341.368702523148</v>
      </c>
      <c r="O77" s="1" t="s">
        <v>25</v>
      </c>
      <c r="P77" s="1" t="s">
        <v>26</v>
      </c>
    </row>
    <row r="78" spans="1:16" x14ac:dyDescent="0.3">
      <c r="A78">
        <v>135490</v>
      </c>
      <c r="B78" s="1" t="s">
        <v>49</v>
      </c>
      <c r="C78" s="1" t="s">
        <v>17</v>
      </c>
      <c r="D78" s="1" t="s">
        <v>18</v>
      </c>
      <c r="E78" s="1" t="s">
        <v>17</v>
      </c>
      <c r="F78">
        <v>1094</v>
      </c>
      <c r="G78" s="1" t="s">
        <v>19</v>
      </c>
      <c r="H78" s="1" t="s">
        <v>315</v>
      </c>
      <c r="I78" s="1" t="s">
        <v>316</v>
      </c>
      <c r="J78" s="1" t="s">
        <v>317</v>
      </c>
      <c r="K78" s="1" t="s">
        <v>318</v>
      </c>
      <c r="L78">
        <v>139</v>
      </c>
      <c r="M78" s="1" t="s">
        <v>24</v>
      </c>
      <c r="N78" s="2">
        <v>45341.368707743059</v>
      </c>
      <c r="O78" s="1" t="s">
        <v>25</v>
      </c>
      <c r="P78" s="1" t="s">
        <v>26</v>
      </c>
    </row>
    <row r="79" spans="1:16" x14ac:dyDescent="0.3">
      <c r="A79">
        <v>125408</v>
      </c>
      <c r="B79" s="1" t="s">
        <v>31</v>
      </c>
      <c r="C79" s="1" t="s">
        <v>32</v>
      </c>
      <c r="D79" s="1" t="s">
        <v>18</v>
      </c>
      <c r="E79" s="1" t="s">
        <v>32</v>
      </c>
      <c r="F79">
        <v>2220</v>
      </c>
      <c r="G79" s="1" t="s">
        <v>19</v>
      </c>
      <c r="H79" s="1" t="s">
        <v>319</v>
      </c>
      <c r="I79" s="1" t="s">
        <v>320</v>
      </c>
      <c r="J79" s="1" t="s">
        <v>147</v>
      </c>
      <c r="K79" s="1" t="s">
        <v>148</v>
      </c>
      <c r="L79">
        <v>89.9</v>
      </c>
      <c r="M79" s="1" t="s">
        <v>24</v>
      </c>
      <c r="N79" s="2">
        <v>45341.368712777781</v>
      </c>
      <c r="O79" s="1" t="s">
        <v>25</v>
      </c>
      <c r="P79" s="1" t="s">
        <v>26</v>
      </c>
    </row>
    <row r="80" spans="1:16" x14ac:dyDescent="0.3">
      <c r="A80">
        <v>134763</v>
      </c>
      <c r="B80" s="1" t="s">
        <v>49</v>
      </c>
      <c r="C80" s="1" t="s">
        <v>17</v>
      </c>
      <c r="D80" s="1" t="s">
        <v>18</v>
      </c>
      <c r="E80" s="1" t="s">
        <v>32</v>
      </c>
      <c r="F80">
        <v>2048</v>
      </c>
      <c r="G80" s="1" t="s">
        <v>19</v>
      </c>
      <c r="H80" s="1" t="s">
        <v>321</v>
      </c>
      <c r="I80" s="1" t="s">
        <v>322</v>
      </c>
      <c r="J80" s="1" t="s">
        <v>323</v>
      </c>
      <c r="K80" s="1" t="s">
        <v>324</v>
      </c>
      <c r="L80">
        <v>89.9</v>
      </c>
      <c r="M80" s="1" t="s">
        <v>24</v>
      </c>
      <c r="N80" s="2">
        <v>45341.368722060186</v>
      </c>
      <c r="O80" s="1" t="s">
        <v>25</v>
      </c>
      <c r="P80" s="1" t="s">
        <v>26</v>
      </c>
    </row>
    <row r="81" spans="1:16" x14ac:dyDescent="0.3">
      <c r="A81">
        <v>143231</v>
      </c>
      <c r="B81" s="1" t="s">
        <v>16</v>
      </c>
      <c r="C81" s="1" t="s">
        <v>17</v>
      </c>
      <c r="D81" s="1" t="s">
        <v>18</v>
      </c>
      <c r="E81" s="1" t="s">
        <v>17</v>
      </c>
      <c r="F81">
        <v>2578</v>
      </c>
      <c r="G81" s="1" t="s">
        <v>19</v>
      </c>
      <c r="H81" s="1" t="s">
        <v>325</v>
      </c>
      <c r="I81" s="1" t="s">
        <v>326</v>
      </c>
      <c r="J81" s="1" t="s">
        <v>313</v>
      </c>
      <c r="K81" s="1" t="s">
        <v>327</v>
      </c>
      <c r="L81">
        <v>89.9</v>
      </c>
      <c r="M81" s="1" t="s">
        <v>24</v>
      </c>
      <c r="N81" s="2">
        <v>45341.368727604167</v>
      </c>
      <c r="O81" s="1" t="s">
        <v>25</v>
      </c>
      <c r="P81" s="1" t="s">
        <v>26</v>
      </c>
    </row>
    <row r="82" spans="1:16" x14ac:dyDescent="0.3">
      <c r="A82">
        <v>125409</v>
      </c>
      <c r="B82" s="1" t="s">
        <v>31</v>
      </c>
      <c r="C82" s="1" t="s">
        <v>32</v>
      </c>
      <c r="D82" s="1" t="s">
        <v>18</v>
      </c>
      <c r="E82" s="1" t="s">
        <v>17</v>
      </c>
      <c r="F82">
        <v>2040</v>
      </c>
      <c r="G82" s="1" t="s">
        <v>19</v>
      </c>
      <c r="H82" s="1" t="s">
        <v>328</v>
      </c>
      <c r="I82" s="1" t="s">
        <v>329</v>
      </c>
      <c r="J82" s="1" t="s">
        <v>330</v>
      </c>
      <c r="K82" s="1" t="s">
        <v>331</v>
      </c>
      <c r="L82">
        <v>89.9</v>
      </c>
      <c r="M82" s="1" t="s">
        <v>24</v>
      </c>
      <c r="N82" s="2">
        <v>45341.368733530093</v>
      </c>
      <c r="O82" s="1" t="s">
        <v>25</v>
      </c>
      <c r="P82" s="1" t="s">
        <v>26</v>
      </c>
    </row>
    <row r="83" spans="1:16" x14ac:dyDescent="0.3">
      <c r="A83">
        <v>183074</v>
      </c>
      <c r="B83" s="1" t="s">
        <v>16</v>
      </c>
      <c r="C83" s="1" t="s">
        <v>17</v>
      </c>
      <c r="D83" s="1" t="s">
        <v>18</v>
      </c>
      <c r="E83" s="1" t="s">
        <v>17</v>
      </c>
      <c r="F83">
        <v>2791</v>
      </c>
      <c r="G83" s="1" t="s">
        <v>19</v>
      </c>
      <c r="H83" s="1" t="s">
        <v>332</v>
      </c>
      <c r="I83" s="1" t="s">
        <v>333</v>
      </c>
      <c r="J83" s="1" t="s">
        <v>334</v>
      </c>
      <c r="K83" s="1" t="s">
        <v>335</v>
      </c>
      <c r="L83">
        <v>89.9</v>
      </c>
      <c r="M83" s="1" t="s">
        <v>24</v>
      </c>
      <c r="N83" s="2">
        <v>45341.368738483798</v>
      </c>
      <c r="O83" s="1" t="s">
        <v>25</v>
      </c>
      <c r="P83" s="1" t="s">
        <v>26</v>
      </c>
    </row>
    <row r="84" spans="1:16" x14ac:dyDescent="0.3">
      <c r="A84">
        <v>147947</v>
      </c>
      <c r="B84" s="1" t="s">
        <v>16</v>
      </c>
      <c r="C84" s="1" t="s">
        <v>32</v>
      </c>
      <c r="D84" s="1" t="s">
        <v>18</v>
      </c>
      <c r="E84" s="1" t="s">
        <v>32</v>
      </c>
      <c r="F84">
        <v>1249</v>
      </c>
      <c r="G84" s="1" t="s">
        <v>19</v>
      </c>
      <c r="H84" s="1" t="s">
        <v>336</v>
      </c>
      <c r="I84" s="1" t="s">
        <v>337</v>
      </c>
      <c r="J84" s="1" t="s">
        <v>338</v>
      </c>
      <c r="K84" s="1" t="s">
        <v>339</v>
      </c>
      <c r="L84">
        <v>89.9</v>
      </c>
      <c r="M84" s="1" t="s">
        <v>24</v>
      </c>
      <c r="N84" s="2">
        <v>45341.36874435185</v>
      </c>
      <c r="O84" s="1" t="s">
        <v>25</v>
      </c>
      <c r="P84" s="1" t="s">
        <v>26</v>
      </c>
    </row>
    <row r="85" spans="1:16" x14ac:dyDescent="0.3">
      <c r="A85">
        <v>174171</v>
      </c>
      <c r="B85" s="1" t="s">
        <v>49</v>
      </c>
      <c r="C85" s="1" t="s">
        <v>32</v>
      </c>
      <c r="D85" s="1" t="s">
        <v>18</v>
      </c>
      <c r="E85" s="1" t="s">
        <v>32</v>
      </c>
      <c r="F85">
        <v>2273</v>
      </c>
      <c r="G85" s="1" t="s">
        <v>19</v>
      </c>
      <c r="H85" s="1" t="s">
        <v>340</v>
      </c>
      <c r="I85" s="1" t="s">
        <v>341</v>
      </c>
      <c r="J85" s="1" t="s">
        <v>342</v>
      </c>
      <c r="K85" s="1" t="s">
        <v>343</v>
      </c>
      <c r="L85">
        <v>89.9</v>
      </c>
      <c r="M85" s="1" t="s">
        <v>24</v>
      </c>
      <c r="N85" s="2">
        <v>45341.368749062502</v>
      </c>
      <c r="O85" s="1" t="s">
        <v>25</v>
      </c>
      <c r="P85" s="1" t="s">
        <v>26</v>
      </c>
    </row>
    <row r="86" spans="1:16" x14ac:dyDescent="0.3">
      <c r="A86">
        <v>183064</v>
      </c>
      <c r="B86" s="1" t="s">
        <v>49</v>
      </c>
      <c r="C86" s="1" t="s">
        <v>32</v>
      </c>
      <c r="D86" s="1" t="s">
        <v>18</v>
      </c>
      <c r="E86" s="1" t="s">
        <v>17</v>
      </c>
      <c r="F86">
        <v>1773</v>
      </c>
      <c r="G86" s="1" t="s">
        <v>19</v>
      </c>
      <c r="H86" s="1" t="s">
        <v>344</v>
      </c>
      <c r="I86" s="1" t="s">
        <v>345</v>
      </c>
      <c r="J86" s="1" t="s">
        <v>346</v>
      </c>
      <c r="K86" s="1" t="s">
        <v>347</v>
      </c>
      <c r="L86">
        <v>89.9</v>
      </c>
      <c r="M86" s="1" t="s">
        <v>24</v>
      </c>
      <c r="N86" s="2">
        <v>45341.368755150463</v>
      </c>
      <c r="O86" s="1" t="s">
        <v>25</v>
      </c>
      <c r="P86" s="1" t="s">
        <v>26</v>
      </c>
    </row>
    <row r="87" spans="1:16" x14ac:dyDescent="0.3">
      <c r="A87">
        <v>177131</v>
      </c>
      <c r="B87" s="1" t="s">
        <v>16</v>
      </c>
      <c r="C87" s="1" t="s">
        <v>32</v>
      </c>
      <c r="D87" s="1" t="s">
        <v>18</v>
      </c>
      <c r="E87" s="1" t="s">
        <v>32</v>
      </c>
      <c r="F87">
        <v>1733</v>
      </c>
      <c r="G87" s="1" t="s">
        <v>19</v>
      </c>
      <c r="H87" s="1" t="s">
        <v>348</v>
      </c>
      <c r="I87" s="1" t="s">
        <v>349</v>
      </c>
      <c r="J87" s="1" t="s">
        <v>350</v>
      </c>
      <c r="K87" s="1" t="s">
        <v>351</v>
      </c>
      <c r="L87">
        <v>69.900000000000006</v>
      </c>
      <c r="M87" s="1" t="s">
        <v>24</v>
      </c>
      <c r="N87" s="2">
        <v>45341.368760520832</v>
      </c>
      <c r="O87" s="1" t="s">
        <v>25</v>
      </c>
      <c r="P87" s="1" t="s">
        <v>26</v>
      </c>
    </row>
    <row r="88" spans="1:16" x14ac:dyDescent="0.3">
      <c r="A88">
        <v>128179</v>
      </c>
      <c r="B88" s="1" t="s">
        <v>31</v>
      </c>
      <c r="C88" s="1" t="s">
        <v>32</v>
      </c>
      <c r="D88" s="1" t="s">
        <v>18</v>
      </c>
      <c r="E88" s="1" t="s">
        <v>17</v>
      </c>
      <c r="F88">
        <v>2060</v>
      </c>
      <c r="G88" s="1" t="s">
        <v>19</v>
      </c>
      <c r="H88" s="1" t="s">
        <v>352</v>
      </c>
      <c r="I88" s="1" t="s">
        <v>353</v>
      </c>
      <c r="J88" s="1" t="s">
        <v>354</v>
      </c>
      <c r="K88" s="1" t="s">
        <v>355</v>
      </c>
      <c r="L88">
        <v>89.9</v>
      </c>
      <c r="M88" s="1" t="s">
        <v>24</v>
      </c>
      <c r="N88" s="2">
        <v>45341.368789074077</v>
      </c>
      <c r="O88" s="1" t="s">
        <v>25</v>
      </c>
      <c r="P88" s="1" t="s">
        <v>26</v>
      </c>
    </row>
    <row r="89" spans="1:16" x14ac:dyDescent="0.3">
      <c r="A89">
        <v>152723</v>
      </c>
      <c r="B89" s="1" t="s">
        <v>16</v>
      </c>
      <c r="C89" s="1" t="s">
        <v>17</v>
      </c>
      <c r="D89" s="1" t="s">
        <v>18</v>
      </c>
      <c r="E89" s="1" t="s">
        <v>32</v>
      </c>
      <c r="F89">
        <v>2849</v>
      </c>
      <c r="G89" s="1" t="s">
        <v>19</v>
      </c>
      <c r="H89" s="1" t="s">
        <v>356</v>
      </c>
      <c r="I89" s="1" t="s">
        <v>357</v>
      </c>
      <c r="J89" s="1" t="s">
        <v>358</v>
      </c>
      <c r="K89" s="1" t="s">
        <v>359</v>
      </c>
      <c r="L89">
        <v>169</v>
      </c>
      <c r="M89" s="1" t="s">
        <v>24</v>
      </c>
      <c r="N89" s="2">
        <v>45341.36879601852</v>
      </c>
      <c r="O89" s="1" t="s">
        <v>25</v>
      </c>
      <c r="P89" s="1" t="s">
        <v>26</v>
      </c>
    </row>
    <row r="90" spans="1:16" x14ac:dyDescent="0.3">
      <c r="A90">
        <v>123824</v>
      </c>
      <c r="B90" s="1" t="s">
        <v>16</v>
      </c>
      <c r="C90" s="1" t="s">
        <v>32</v>
      </c>
      <c r="D90" s="1" t="s">
        <v>18</v>
      </c>
      <c r="E90" s="1" t="s">
        <v>17</v>
      </c>
      <c r="F90">
        <v>2277</v>
      </c>
      <c r="G90" s="1" t="s">
        <v>19</v>
      </c>
      <c r="H90" s="1" t="s">
        <v>360</v>
      </c>
      <c r="I90" s="1" t="s">
        <v>361</v>
      </c>
      <c r="J90" s="1" t="s">
        <v>362</v>
      </c>
      <c r="K90" s="1" t="s">
        <v>363</v>
      </c>
      <c r="L90">
        <v>169</v>
      </c>
      <c r="M90" s="1" t="s">
        <v>24</v>
      </c>
      <c r="N90" s="2">
        <v>45341.368800706019</v>
      </c>
      <c r="O90" s="1" t="s">
        <v>25</v>
      </c>
      <c r="P90" s="1" t="s">
        <v>26</v>
      </c>
    </row>
    <row r="91" spans="1:16" x14ac:dyDescent="0.3">
      <c r="A91">
        <v>166345</v>
      </c>
      <c r="B91" s="1" t="s">
        <v>16</v>
      </c>
      <c r="C91" s="1" t="s">
        <v>17</v>
      </c>
      <c r="D91" s="1" t="s">
        <v>18</v>
      </c>
      <c r="E91" s="1" t="s">
        <v>32</v>
      </c>
      <c r="F91">
        <v>1135</v>
      </c>
      <c r="G91" s="1" t="s">
        <v>19</v>
      </c>
      <c r="H91" s="1" t="s">
        <v>364</v>
      </c>
      <c r="I91" s="1" t="s">
        <v>365</v>
      </c>
      <c r="J91" s="1" t="s">
        <v>366</v>
      </c>
      <c r="K91" s="1" t="s">
        <v>367</v>
      </c>
      <c r="L91">
        <v>69.900000000000006</v>
      </c>
      <c r="M91" s="1" t="s">
        <v>24</v>
      </c>
      <c r="N91" s="2">
        <v>45341.368805925929</v>
      </c>
      <c r="O91" s="1" t="s">
        <v>25</v>
      </c>
      <c r="P91" s="1" t="s">
        <v>26</v>
      </c>
    </row>
    <row r="92" spans="1:16" x14ac:dyDescent="0.3">
      <c r="A92">
        <v>199279</v>
      </c>
      <c r="B92" s="1" t="s">
        <v>16</v>
      </c>
      <c r="C92" s="1" t="s">
        <v>17</v>
      </c>
      <c r="D92" s="1" t="s">
        <v>18</v>
      </c>
      <c r="E92" s="1" t="s">
        <v>17</v>
      </c>
      <c r="F92">
        <v>1770</v>
      </c>
      <c r="G92" s="1" t="s">
        <v>19</v>
      </c>
      <c r="H92" s="1" t="s">
        <v>368</v>
      </c>
      <c r="I92" s="1" t="s">
        <v>369</v>
      </c>
      <c r="J92" s="1" t="s">
        <v>370</v>
      </c>
      <c r="K92" s="1" t="s">
        <v>371</v>
      </c>
      <c r="L92">
        <v>19.989999999999998</v>
      </c>
      <c r="M92" s="1" t="s">
        <v>24</v>
      </c>
      <c r="N92" s="2">
        <v>45341.368811354165</v>
      </c>
      <c r="O92" s="1" t="s">
        <v>25</v>
      </c>
      <c r="P92" s="1" t="s">
        <v>26</v>
      </c>
    </row>
    <row r="93" spans="1:16" x14ac:dyDescent="0.3">
      <c r="A93">
        <v>167981</v>
      </c>
      <c r="B93" s="1" t="s">
        <v>31</v>
      </c>
      <c r="C93" s="1" t="s">
        <v>17</v>
      </c>
      <c r="D93" s="1" t="s">
        <v>18</v>
      </c>
      <c r="E93" s="1" t="s">
        <v>17</v>
      </c>
      <c r="F93">
        <v>730</v>
      </c>
      <c r="G93" s="1" t="s">
        <v>19</v>
      </c>
      <c r="H93" s="1" t="s">
        <v>372</v>
      </c>
      <c r="I93" s="1" t="s">
        <v>373</v>
      </c>
      <c r="J93" s="1" t="s">
        <v>374</v>
      </c>
      <c r="K93" s="1" t="s">
        <v>375</v>
      </c>
      <c r="L93">
        <v>139</v>
      </c>
      <c r="M93" s="1" t="s">
        <v>24</v>
      </c>
      <c r="N93" s="2">
        <v>45341.36881630787</v>
      </c>
      <c r="O93" s="1" t="s">
        <v>25</v>
      </c>
      <c r="P93" s="1" t="s">
        <v>26</v>
      </c>
    </row>
    <row r="94" spans="1:16" x14ac:dyDescent="0.3">
      <c r="A94">
        <v>146839</v>
      </c>
      <c r="B94" s="1" t="s">
        <v>16</v>
      </c>
      <c r="C94" s="1" t="s">
        <v>17</v>
      </c>
      <c r="D94" s="1" t="s">
        <v>18</v>
      </c>
      <c r="E94" s="1" t="s">
        <v>17</v>
      </c>
      <c r="F94">
        <v>1525</v>
      </c>
      <c r="G94" s="1" t="s">
        <v>19</v>
      </c>
      <c r="H94" s="1" t="s">
        <v>376</v>
      </c>
      <c r="I94" s="1" t="s">
        <v>377</v>
      </c>
      <c r="J94" s="1" t="s">
        <v>164</v>
      </c>
      <c r="K94" s="1" t="s">
        <v>378</v>
      </c>
      <c r="L94">
        <v>109</v>
      </c>
      <c r="M94" s="1" t="s">
        <v>24</v>
      </c>
      <c r="N94" s="2">
        <v>45341.368822233795</v>
      </c>
      <c r="O94" s="1" t="s">
        <v>25</v>
      </c>
      <c r="P94" s="1" t="s">
        <v>26</v>
      </c>
    </row>
    <row r="95" spans="1:16" x14ac:dyDescent="0.3">
      <c r="A95">
        <v>187180</v>
      </c>
      <c r="B95" s="1" t="s">
        <v>49</v>
      </c>
      <c r="C95" s="1" t="s">
        <v>17</v>
      </c>
      <c r="D95" s="1" t="s">
        <v>18</v>
      </c>
      <c r="E95" s="1" t="s">
        <v>32</v>
      </c>
      <c r="F95">
        <v>647</v>
      </c>
      <c r="G95" s="1" t="s">
        <v>19</v>
      </c>
      <c r="H95" s="1" t="s">
        <v>379</v>
      </c>
      <c r="I95" s="1" t="s">
        <v>380</v>
      </c>
      <c r="J95" s="1" t="s">
        <v>370</v>
      </c>
      <c r="K95" s="1" t="s">
        <v>381</v>
      </c>
      <c r="L95">
        <v>109</v>
      </c>
      <c r="M95" s="1" t="s">
        <v>24</v>
      </c>
      <c r="N95" s="2">
        <v>45341.368827627317</v>
      </c>
      <c r="O95" s="1" t="s">
        <v>25</v>
      </c>
      <c r="P95" s="1" t="s">
        <v>26</v>
      </c>
    </row>
    <row r="96" spans="1:16" x14ac:dyDescent="0.3">
      <c r="A96">
        <v>167640</v>
      </c>
      <c r="B96" s="1" t="s">
        <v>31</v>
      </c>
      <c r="C96" s="1" t="s">
        <v>32</v>
      </c>
      <c r="D96" s="1" t="s">
        <v>18</v>
      </c>
      <c r="E96" s="1" t="s">
        <v>32</v>
      </c>
      <c r="F96">
        <v>1017</v>
      </c>
      <c r="G96" s="1" t="s">
        <v>19</v>
      </c>
      <c r="H96" s="1" t="s">
        <v>382</v>
      </c>
      <c r="I96" s="1" t="s">
        <v>383</v>
      </c>
      <c r="J96" s="1" t="s">
        <v>370</v>
      </c>
      <c r="K96" s="1" t="s">
        <v>384</v>
      </c>
      <c r="L96">
        <v>109</v>
      </c>
      <c r="M96" s="1" t="s">
        <v>24</v>
      </c>
      <c r="N96" s="2">
        <v>45341.368832442131</v>
      </c>
      <c r="O96" s="1" t="s">
        <v>25</v>
      </c>
      <c r="P96" s="1" t="s">
        <v>26</v>
      </c>
    </row>
    <row r="97" spans="1:16" x14ac:dyDescent="0.3">
      <c r="A97">
        <v>165158</v>
      </c>
      <c r="B97" s="1" t="s">
        <v>49</v>
      </c>
      <c r="C97" s="1" t="s">
        <v>17</v>
      </c>
      <c r="D97" s="1" t="s">
        <v>18</v>
      </c>
      <c r="E97" s="1" t="s">
        <v>17</v>
      </c>
      <c r="F97">
        <v>1622</v>
      </c>
      <c r="G97" s="1" t="s">
        <v>19</v>
      </c>
      <c r="H97" s="1" t="s">
        <v>385</v>
      </c>
      <c r="I97" s="1" t="s">
        <v>386</v>
      </c>
      <c r="J97" s="1" t="s">
        <v>387</v>
      </c>
      <c r="K97" s="1" t="s">
        <v>388</v>
      </c>
      <c r="L97">
        <v>109</v>
      </c>
      <c r="M97" s="1" t="s">
        <v>24</v>
      </c>
      <c r="N97" s="2">
        <v>45341.368837662034</v>
      </c>
      <c r="O97" s="1" t="s">
        <v>25</v>
      </c>
      <c r="P97" s="1" t="s">
        <v>26</v>
      </c>
    </row>
    <row r="98" spans="1:16" x14ac:dyDescent="0.3">
      <c r="A98">
        <v>111521</v>
      </c>
      <c r="B98" s="1" t="s">
        <v>49</v>
      </c>
      <c r="C98" s="1" t="s">
        <v>32</v>
      </c>
      <c r="D98" s="1" t="s">
        <v>18</v>
      </c>
      <c r="E98" s="1" t="s">
        <v>32</v>
      </c>
      <c r="F98">
        <v>2553</v>
      </c>
      <c r="G98" s="1" t="s">
        <v>19</v>
      </c>
      <c r="H98" s="1" t="s">
        <v>389</v>
      </c>
      <c r="I98" s="1" t="s">
        <v>390</v>
      </c>
      <c r="J98" s="1" t="s">
        <v>391</v>
      </c>
      <c r="K98" s="1" t="s">
        <v>392</v>
      </c>
      <c r="L98">
        <v>99.9</v>
      </c>
      <c r="M98" s="1" t="s">
        <v>24</v>
      </c>
      <c r="N98" s="2">
        <v>45341.368842986114</v>
      </c>
      <c r="O98" s="1" t="s">
        <v>25</v>
      </c>
      <c r="P98" s="1" t="s">
        <v>26</v>
      </c>
    </row>
    <row r="99" spans="1:16" x14ac:dyDescent="0.3">
      <c r="A99">
        <v>120228</v>
      </c>
      <c r="B99" s="1" t="s">
        <v>31</v>
      </c>
      <c r="C99" s="1" t="s">
        <v>17</v>
      </c>
      <c r="D99" s="1" t="s">
        <v>18</v>
      </c>
      <c r="E99" s="1" t="s">
        <v>17</v>
      </c>
      <c r="F99">
        <v>2347</v>
      </c>
      <c r="G99" s="1" t="s">
        <v>19</v>
      </c>
      <c r="H99" s="1" t="s">
        <v>393</v>
      </c>
      <c r="I99" s="1" t="s">
        <v>394</v>
      </c>
      <c r="J99" s="1" t="s">
        <v>64</v>
      </c>
      <c r="K99" s="1" t="s">
        <v>395</v>
      </c>
      <c r="L99">
        <v>89.9</v>
      </c>
      <c r="M99" s="1" t="s">
        <v>24</v>
      </c>
      <c r="N99" s="2">
        <v>45341.368855034721</v>
      </c>
      <c r="O99" s="1" t="s">
        <v>25</v>
      </c>
      <c r="P99" s="1" t="s">
        <v>26</v>
      </c>
    </row>
    <row r="100" spans="1:16" x14ac:dyDescent="0.3">
      <c r="A100">
        <v>133078</v>
      </c>
      <c r="B100" s="1" t="s">
        <v>16</v>
      </c>
      <c r="C100" s="1" t="s">
        <v>17</v>
      </c>
      <c r="D100" s="1" t="s">
        <v>18</v>
      </c>
      <c r="E100" s="1" t="s">
        <v>32</v>
      </c>
      <c r="F100">
        <v>2535</v>
      </c>
      <c r="G100" s="1" t="s">
        <v>19</v>
      </c>
      <c r="H100" s="1" t="s">
        <v>396</v>
      </c>
      <c r="I100" s="1" t="s">
        <v>397</v>
      </c>
      <c r="J100" s="1" t="s">
        <v>323</v>
      </c>
      <c r="K100" s="1" t="s">
        <v>398</v>
      </c>
      <c r="L100">
        <v>69.900000000000006</v>
      </c>
      <c r="M100" s="1" t="s">
        <v>24</v>
      </c>
      <c r="N100" s="2">
        <v>45341.368862164352</v>
      </c>
      <c r="O100" s="1" t="s">
        <v>25</v>
      </c>
      <c r="P100" s="1" t="s">
        <v>26</v>
      </c>
    </row>
    <row r="101" spans="1:16" x14ac:dyDescent="0.3">
      <c r="A101">
        <v>137598</v>
      </c>
      <c r="B101" s="1" t="s">
        <v>16</v>
      </c>
      <c r="C101" s="1" t="s">
        <v>17</v>
      </c>
      <c r="D101" s="1" t="s">
        <v>18</v>
      </c>
      <c r="E101" s="1" t="s">
        <v>32</v>
      </c>
      <c r="F101">
        <v>2839</v>
      </c>
      <c r="G101" s="1" t="s">
        <v>19</v>
      </c>
      <c r="H101" s="1" t="s">
        <v>399</v>
      </c>
      <c r="I101" s="1" t="s">
        <v>400</v>
      </c>
      <c r="J101" s="1" t="s">
        <v>242</v>
      </c>
      <c r="K101" s="1" t="s">
        <v>401</v>
      </c>
      <c r="L101">
        <v>139</v>
      </c>
      <c r="M101" s="1" t="s">
        <v>24</v>
      </c>
      <c r="N101" s="2">
        <v>45341.368936261577</v>
      </c>
      <c r="O101" s="1" t="s">
        <v>25</v>
      </c>
      <c r="P101" s="1" t="s">
        <v>26</v>
      </c>
    </row>
    <row r="102" spans="1:16" x14ac:dyDescent="0.3">
      <c r="A102">
        <v>138779</v>
      </c>
      <c r="B102" s="1" t="s">
        <v>49</v>
      </c>
      <c r="C102" s="1" t="s">
        <v>32</v>
      </c>
      <c r="D102" s="1" t="s">
        <v>18</v>
      </c>
      <c r="E102" s="1" t="s">
        <v>32</v>
      </c>
      <c r="F102">
        <v>2801</v>
      </c>
      <c r="G102" s="1" t="s">
        <v>19</v>
      </c>
      <c r="H102" s="1" t="s">
        <v>402</v>
      </c>
      <c r="I102" s="1" t="s">
        <v>403</v>
      </c>
      <c r="J102" s="1" t="s">
        <v>35</v>
      </c>
      <c r="K102" s="1" t="s">
        <v>40</v>
      </c>
      <c r="L102">
        <v>139</v>
      </c>
      <c r="M102" s="1" t="s">
        <v>24</v>
      </c>
      <c r="N102" s="2">
        <v>45341.368941412038</v>
      </c>
      <c r="O102" s="1" t="s">
        <v>25</v>
      </c>
      <c r="P102" s="1" t="s">
        <v>26</v>
      </c>
    </row>
    <row r="103" spans="1:16" x14ac:dyDescent="0.3">
      <c r="A103">
        <v>198329</v>
      </c>
      <c r="B103" s="1" t="s">
        <v>49</v>
      </c>
      <c r="C103" s="1" t="s">
        <v>32</v>
      </c>
      <c r="D103" s="1" t="s">
        <v>18</v>
      </c>
      <c r="E103" s="1" t="s">
        <v>32</v>
      </c>
      <c r="F103">
        <v>628</v>
      </c>
      <c r="G103" s="1" t="s">
        <v>19</v>
      </c>
      <c r="H103" s="1" t="s">
        <v>404</v>
      </c>
      <c r="I103" s="1" t="s">
        <v>405</v>
      </c>
      <c r="J103" s="1" t="s">
        <v>406</v>
      </c>
      <c r="K103" s="1" t="s">
        <v>407</v>
      </c>
      <c r="L103">
        <v>109</v>
      </c>
      <c r="M103" s="1" t="s">
        <v>24</v>
      </c>
      <c r="N103" s="2">
        <v>45341.36894670139</v>
      </c>
      <c r="O103" s="1" t="s">
        <v>25</v>
      </c>
      <c r="P103" s="1" t="s">
        <v>26</v>
      </c>
    </row>
    <row r="104" spans="1:16" x14ac:dyDescent="0.3">
      <c r="A104">
        <v>110295</v>
      </c>
      <c r="B104" s="1" t="s">
        <v>31</v>
      </c>
      <c r="C104" s="1" t="s">
        <v>32</v>
      </c>
      <c r="D104" s="1" t="s">
        <v>18</v>
      </c>
      <c r="E104" s="1" t="s">
        <v>17</v>
      </c>
      <c r="F104">
        <v>1448</v>
      </c>
      <c r="G104" s="1" t="s">
        <v>19</v>
      </c>
      <c r="H104" s="1" t="s">
        <v>408</v>
      </c>
      <c r="I104" s="1" t="s">
        <v>409</v>
      </c>
      <c r="J104" s="1" t="s">
        <v>410</v>
      </c>
      <c r="K104" s="1" t="s">
        <v>411</v>
      </c>
      <c r="L104">
        <v>129</v>
      </c>
      <c r="M104" s="1" t="s">
        <v>24</v>
      </c>
      <c r="N104" s="2">
        <v>45341.368951412034</v>
      </c>
      <c r="O104" s="1" t="s">
        <v>25</v>
      </c>
      <c r="P104" s="1" t="s">
        <v>26</v>
      </c>
    </row>
    <row r="105" spans="1:16" x14ac:dyDescent="0.3">
      <c r="A105">
        <v>196427</v>
      </c>
      <c r="B105" s="1" t="s">
        <v>16</v>
      </c>
      <c r="C105" s="1" t="s">
        <v>32</v>
      </c>
      <c r="D105" s="1" t="s">
        <v>18</v>
      </c>
      <c r="E105" s="1" t="s">
        <v>17</v>
      </c>
      <c r="F105">
        <v>1401</v>
      </c>
      <c r="G105" s="1" t="s">
        <v>19</v>
      </c>
      <c r="H105" s="1" t="s">
        <v>412</v>
      </c>
      <c r="I105" s="1" t="s">
        <v>413</v>
      </c>
      <c r="J105" s="1" t="s">
        <v>414</v>
      </c>
      <c r="K105" s="1" t="s">
        <v>415</v>
      </c>
      <c r="L105">
        <v>169</v>
      </c>
      <c r="M105" s="1" t="s">
        <v>24</v>
      </c>
      <c r="N105" s="2">
        <v>45341.368957210645</v>
      </c>
      <c r="O105" s="1" t="s">
        <v>25</v>
      </c>
      <c r="P105" s="1" t="s">
        <v>26</v>
      </c>
    </row>
    <row r="106" spans="1:16" x14ac:dyDescent="0.3">
      <c r="A106">
        <v>110075</v>
      </c>
      <c r="B106" s="1" t="s">
        <v>49</v>
      </c>
      <c r="C106" s="1" t="s">
        <v>32</v>
      </c>
      <c r="D106" s="1" t="s">
        <v>18</v>
      </c>
      <c r="E106" s="1" t="s">
        <v>32</v>
      </c>
      <c r="F106">
        <v>2185</v>
      </c>
      <c r="G106" s="1" t="s">
        <v>19</v>
      </c>
      <c r="H106" s="1" t="s">
        <v>416</v>
      </c>
      <c r="I106" s="1" t="s">
        <v>417</v>
      </c>
      <c r="J106" s="1" t="s">
        <v>418</v>
      </c>
      <c r="K106" s="1" t="s">
        <v>419</v>
      </c>
      <c r="L106">
        <v>159</v>
      </c>
      <c r="M106" s="1" t="s">
        <v>24</v>
      </c>
      <c r="N106" s="2">
        <v>45341.368962766202</v>
      </c>
      <c r="O106" s="1" t="s">
        <v>25</v>
      </c>
      <c r="P106" s="1" t="s">
        <v>26</v>
      </c>
    </row>
    <row r="107" spans="1:16" x14ac:dyDescent="0.3">
      <c r="A107">
        <v>132322</v>
      </c>
      <c r="B107" s="1" t="s">
        <v>49</v>
      </c>
      <c r="C107" s="1" t="s">
        <v>32</v>
      </c>
      <c r="D107" s="1" t="s">
        <v>18</v>
      </c>
      <c r="E107" s="1" t="s">
        <v>17</v>
      </c>
      <c r="F107">
        <v>2135</v>
      </c>
      <c r="G107" s="1" t="s">
        <v>19</v>
      </c>
      <c r="H107" s="1" t="s">
        <v>420</v>
      </c>
      <c r="I107" s="1" t="s">
        <v>421</v>
      </c>
      <c r="J107" s="1" t="s">
        <v>422</v>
      </c>
      <c r="K107" s="1" t="s">
        <v>423</v>
      </c>
      <c r="L107">
        <v>12.99</v>
      </c>
      <c r="M107" s="1" t="s">
        <v>24</v>
      </c>
      <c r="N107" s="2">
        <v>45341.369104178244</v>
      </c>
      <c r="O107" s="1" t="s">
        <v>25</v>
      </c>
      <c r="P107" s="1" t="s">
        <v>26</v>
      </c>
    </row>
    <row r="108" spans="1:16" x14ac:dyDescent="0.3">
      <c r="A108">
        <v>199631</v>
      </c>
      <c r="B108" s="1" t="s">
        <v>49</v>
      </c>
      <c r="C108" s="1" t="s">
        <v>32</v>
      </c>
      <c r="D108" s="1" t="s">
        <v>18</v>
      </c>
      <c r="E108" s="1" t="s">
        <v>17</v>
      </c>
      <c r="F108">
        <v>1269</v>
      </c>
      <c r="G108" s="1" t="s">
        <v>19</v>
      </c>
      <c r="H108" s="1" t="s">
        <v>424</v>
      </c>
      <c r="I108" s="1" t="s">
        <v>425</v>
      </c>
      <c r="J108" s="1" t="s">
        <v>426</v>
      </c>
      <c r="K108" s="1" t="s">
        <v>427</v>
      </c>
      <c r="L108">
        <v>89.9</v>
      </c>
      <c r="M108" s="1" t="s">
        <v>24</v>
      </c>
      <c r="N108" s="2">
        <v>45341.369115578702</v>
      </c>
      <c r="O108" s="1" t="s">
        <v>25</v>
      </c>
      <c r="P108" s="1" t="s">
        <v>26</v>
      </c>
    </row>
    <row r="109" spans="1:16" x14ac:dyDescent="0.3">
      <c r="A109">
        <v>182306</v>
      </c>
      <c r="B109" s="1" t="s">
        <v>49</v>
      </c>
      <c r="C109" s="1" t="s">
        <v>17</v>
      </c>
      <c r="D109" s="1" t="s">
        <v>18</v>
      </c>
      <c r="E109" s="1" t="s">
        <v>17</v>
      </c>
      <c r="F109">
        <v>2805</v>
      </c>
      <c r="G109" s="1" t="s">
        <v>19</v>
      </c>
      <c r="H109" s="1" t="s">
        <v>428</v>
      </c>
      <c r="I109" s="1" t="s">
        <v>429</v>
      </c>
      <c r="J109" s="1" t="s">
        <v>430</v>
      </c>
      <c r="K109" s="1" t="s">
        <v>431</v>
      </c>
      <c r="L109">
        <v>89.9</v>
      </c>
      <c r="M109" s="1" t="s">
        <v>24</v>
      </c>
      <c r="N109" s="2">
        <v>45341.369122129632</v>
      </c>
      <c r="O109" s="1" t="s">
        <v>25</v>
      </c>
      <c r="P109" s="1" t="s">
        <v>26</v>
      </c>
    </row>
    <row r="110" spans="1:16" x14ac:dyDescent="0.3">
      <c r="A110">
        <v>194915</v>
      </c>
      <c r="B110" s="1" t="s">
        <v>16</v>
      </c>
      <c r="C110" s="1" t="s">
        <v>32</v>
      </c>
      <c r="D110" s="1" t="s">
        <v>18</v>
      </c>
      <c r="E110" s="1" t="s">
        <v>17</v>
      </c>
      <c r="F110">
        <v>1796</v>
      </c>
      <c r="G110" s="1" t="s">
        <v>19</v>
      </c>
      <c r="H110" s="1" t="s">
        <v>432</v>
      </c>
      <c r="I110" s="1" t="s">
        <v>433</v>
      </c>
      <c r="J110" s="1" t="s">
        <v>434</v>
      </c>
      <c r="K110" s="1" t="s">
        <v>435</v>
      </c>
      <c r="L110">
        <v>79.900000000000006</v>
      </c>
      <c r="M110" s="1" t="s">
        <v>24</v>
      </c>
      <c r="N110" s="2">
        <v>45341.369126967591</v>
      </c>
      <c r="O110" s="1" t="s">
        <v>25</v>
      </c>
      <c r="P110" s="1" t="s">
        <v>26</v>
      </c>
    </row>
    <row r="111" spans="1:16" x14ac:dyDescent="0.3">
      <c r="A111">
        <v>131298</v>
      </c>
      <c r="B111" s="1" t="s">
        <v>31</v>
      </c>
      <c r="C111" s="1" t="s">
        <v>32</v>
      </c>
      <c r="D111" s="1" t="s">
        <v>18</v>
      </c>
      <c r="E111" s="1" t="s">
        <v>17</v>
      </c>
      <c r="F111">
        <v>2133</v>
      </c>
      <c r="G111" s="1" t="s">
        <v>19</v>
      </c>
      <c r="H111" s="1" t="s">
        <v>436</v>
      </c>
      <c r="I111" s="1" t="s">
        <v>437</v>
      </c>
      <c r="J111" s="1" t="s">
        <v>438</v>
      </c>
      <c r="K111" s="1" t="s">
        <v>439</v>
      </c>
      <c r="L111">
        <v>69.900000000000006</v>
      </c>
      <c r="M111" s="1" t="s">
        <v>24</v>
      </c>
      <c r="N111" s="2">
        <v>45341.369133969907</v>
      </c>
      <c r="O111" s="1" t="s">
        <v>25</v>
      </c>
      <c r="P111" s="1" t="s">
        <v>26</v>
      </c>
    </row>
    <row r="112" spans="1:16" x14ac:dyDescent="0.3">
      <c r="A112">
        <v>168571</v>
      </c>
      <c r="B112" s="1" t="s">
        <v>16</v>
      </c>
      <c r="C112" s="1" t="s">
        <v>17</v>
      </c>
      <c r="D112" s="1" t="s">
        <v>18</v>
      </c>
      <c r="E112" s="1" t="s">
        <v>17</v>
      </c>
      <c r="F112">
        <v>1778</v>
      </c>
      <c r="G112" s="1" t="s">
        <v>19</v>
      </c>
      <c r="H112" s="1" t="s">
        <v>440</v>
      </c>
      <c r="I112" s="1" t="s">
        <v>441</v>
      </c>
      <c r="J112" s="1" t="s">
        <v>346</v>
      </c>
      <c r="K112" s="1" t="s">
        <v>442</v>
      </c>
      <c r="L112">
        <v>89.9</v>
      </c>
      <c r="M112" s="1" t="s">
        <v>24</v>
      </c>
      <c r="N112" s="2">
        <v>45341.369138969909</v>
      </c>
      <c r="O112" s="1" t="s">
        <v>25</v>
      </c>
      <c r="P112" s="1" t="s">
        <v>26</v>
      </c>
    </row>
    <row r="113" spans="1:16" x14ac:dyDescent="0.3">
      <c r="A113">
        <v>154224</v>
      </c>
      <c r="B113" s="1" t="s">
        <v>31</v>
      </c>
      <c r="C113" s="1" t="s">
        <v>32</v>
      </c>
      <c r="D113" s="1" t="s">
        <v>18</v>
      </c>
      <c r="E113" s="1" t="s">
        <v>17</v>
      </c>
      <c r="F113">
        <v>2474</v>
      </c>
      <c r="G113" s="1" t="s">
        <v>19</v>
      </c>
      <c r="H113" s="1" t="s">
        <v>443</v>
      </c>
      <c r="I113" s="1" t="s">
        <v>444</v>
      </c>
      <c r="J113" s="1" t="s">
        <v>445</v>
      </c>
      <c r="K113" s="1" t="s">
        <v>446</v>
      </c>
      <c r="L113">
        <v>89.9</v>
      </c>
      <c r="M113" s="1" t="s">
        <v>24</v>
      </c>
      <c r="N113" s="2">
        <v>45341.369143969911</v>
      </c>
      <c r="O113" s="1" t="s">
        <v>25</v>
      </c>
      <c r="P113" s="1" t="s">
        <v>26</v>
      </c>
    </row>
    <row r="114" spans="1:16" x14ac:dyDescent="0.3">
      <c r="A114">
        <v>171061</v>
      </c>
      <c r="B114" s="1" t="s">
        <v>16</v>
      </c>
      <c r="C114" s="1" t="s">
        <v>17</v>
      </c>
      <c r="D114" s="1" t="s">
        <v>18</v>
      </c>
      <c r="E114" s="1" t="s">
        <v>32</v>
      </c>
      <c r="F114">
        <v>2032</v>
      </c>
      <c r="G114" s="1" t="s">
        <v>19</v>
      </c>
      <c r="H114" s="1" t="s">
        <v>447</v>
      </c>
      <c r="I114" s="1" t="s">
        <v>448</v>
      </c>
      <c r="J114" s="1" t="s">
        <v>438</v>
      </c>
      <c r="K114" s="1" t="s">
        <v>449</v>
      </c>
      <c r="L114">
        <v>59.9</v>
      </c>
      <c r="M114" s="1" t="s">
        <v>24</v>
      </c>
      <c r="N114" s="2">
        <v>45341.369148645834</v>
      </c>
      <c r="O114" s="1" t="s">
        <v>25</v>
      </c>
      <c r="P114" s="1" t="s">
        <v>26</v>
      </c>
    </row>
    <row r="115" spans="1:16" x14ac:dyDescent="0.3">
      <c r="A115">
        <v>119049</v>
      </c>
      <c r="B115" s="1" t="s">
        <v>16</v>
      </c>
      <c r="C115" s="1" t="s">
        <v>17</v>
      </c>
      <c r="D115" s="1" t="s">
        <v>18</v>
      </c>
      <c r="E115" s="1" t="s">
        <v>32</v>
      </c>
      <c r="F115">
        <v>1659</v>
      </c>
      <c r="G115" s="1" t="s">
        <v>19</v>
      </c>
      <c r="H115" s="1" t="s">
        <v>450</v>
      </c>
      <c r="I115" s="1" t="s">
        <v>451</v>
      </c>
      <c r="J115" s="1" t="s">
        <v>452</v>
      </c>
      <c r="K115" s="1" t="s">
        <v>453</v>
      </c>
      <c r="L115">
        <v>89.9</v>
      </c>
      <c r="M115" s="1" t="s">
        <v>24</v>
      </c>
      <c r="N115" s="2">
        <v>45341.369159710652</v>
      </c>
      <c r="O115" s="1" t="s">
        <v>25</v>
      </c>
      <c r="P115" s="1" t="s">
        <v>26</v>
      </c>
    </row>
    <row r="116" spans="1:16" x14ac:dyDescent="0.3">
      <c r="A116">
        <v>158781</v>
      </c>
      <c r="B116" s="1" t="s">
        <v>31</v>
      </c>
      <c r="C116" s="1" t="s">
        <v>32</v>
      </c>
      <c r="D116" s="1" t="s">
        <v>18</v>
      </c>
      <c r="E116" s="1" t="s">
        <v>32</v>
      </c>
      <c r="F116">
        <v>2443</v>
      </c>
      <c r="G116" s="1" t="s">
        <v>19</v>
      </c>
      <c r="H116" s="1" t="s">
        <v>454</v>
      </c>
      <c r="I116" s="1" t="s">
        <v>455</v>
      </c>
      <c r="J116" s="1" t="s">
        <v>456</v>
      </c>
      <c r="K116" s="1" t="s">
        <v>457</v>
      </c>
      <c r="L116">
        <v>69.900000000000006</v>
      </c>
      <c r="M116" s="1" t="s">
        <v>24</v>
      </c>
      <c r="N116" s="2">
        <v>45341.369165289354</v>
      </c>
      <c r="O116" s="1" t="s">
        <v>25</v>
      </c>
      <c r="P116" s="1" t="s">
        <v>26</v>
      </c>
    </row>
    <row r="117" spans="1:16" x14ac:dyDescent="0.3">
      <c r="A117">
        <v>151438</v>
      </c>
      <c r="B117" s="1" t="s">
        <v>16</v>
      </c>
      <c r="C117" s="1" t="s">
        <v>17</v>
      </c>
      <c r="D117" s="1" t="s">
        <v>18</v>
      </c>
      <c r="E117" s="1" t="s">
        <v>32</v>
      </c>
      <c r="F117">
        <v>1137</v>
      </c>
      <c r="G117" s="1" t="s">
        <v>19</v>
      </c>
      <c r="H117" s="1" t="s">
        <v>458</v>
      </c>
      <c r="I117" s="1" t="s">
        <v>459</v>
      </c>
      <c r="J117" s="1" t="s">
        <v>438</v>
      </c>
      <c r="K117" s="1" t="s">
        <v>460</v>
      </c>
      <c r="L117">
        <v>69.900000000000006</v>
      </c>
      <c r="M117" s="1" t="s">
        <v>24</v>
      </c>
      <c r="N117" s="2">
        <v>45341.369170740742</v>
      </c>
      <c r="O117" s="1" t="s">
        <v>25</v>
      </c>
      <c r="P117" s="1" t="s">
        <v>26</v>
      </c>
    </row>
    <row r="118" spans="1:16" x14ac:dyDescent="0.3">
      <c r="A118">
        <v>152871</v>
      </c>
      <c r="B118" s="1" t="s">
        <v>31</v>
      </c>
      <c r="C118" s="1" t="s">
        <v>17</v>
      </c>
      <c r="D118" s="1" t="s">
        <v>18</v>
      </c>
      <c r="E118" s="1" t="s">
        <v>32</v>
      </c>
      <c r="F118">
        <v>1847</v>
      </c>
      <c r="G118" s="1" t="s">
        <v>19</v>
      </c>
      <c r="H118" s="1" t="s">
        <v>461</v>
      </c>
      <c r="I118" s="1" t="s">
        <v>462</v>
      </c>
      <c r="J118" s="1" t="s">
        <v>463</v>
      </c>
      <c r="K118" s="1" t="s">
        <v>464</v>
      </c>
      <c r="L118">
        <v>69.900000000000006</v>
      </c>
      <c r="M118" s="1" t="s">
        <v>24</v>
      </c>
      <c r="N118" s="2">
        <v>45341.369175763888</v>
      </c>
      <c r="O118" s="1" t="s">
        <v>25</v>
      </c>
      <c r="P118" s="1" t="s">
        <v>26</v>
      </c>
    </row>
    <row r="119" spans="1:16" x14ac:dyDescent="0.3">
      <c r="A119">
        <v>126806</v>
      </c>
      <c r="B119" s="1" t="s">
        <v>31</v>
      </c>
      <c r="C119" s="1" t="s">
        <v>32</v>
      </c>
      <c r="D119" s="1" t="s">
        <v>18</v>
      </c>
      <c r="E119" s="1" t="s">
        <v>32</v>
      </c>
      <c r="F119">
        <v>2404</v>
      </c>
      <c r="G119" s="1" t="s">
        <v>19</v>
      </c>
      <c r="H119" s="1" t="s">
        <v>465</v>
      </c>
      <c r="I119" s="1" t="s">
        <v>466</v>
      </c>
      <c r="J119" s="1" t="s">
        <v>346</v>
      </c>
      <c r="K119" s="1" t="s">
        <v>467</v>
      </c>
      <c r="L119">
        <v>109</v>
      </c>
      <c r="M119" s="1" t="s">
        <v>24</v>
      </c>
      <c r="N119" s="2">
        <v>45341.369181666669</v>
      </c>
      <c r="O119" s="1" t="s">
        <v>25</v>
      </c>
      <c r="P119" s="1" t="s">
        <v>26</v>
      </c>
    </row>
    <row r="120" spans="1:16" x14ac:dyDescent="0.3">
      <c r="A120">
        <v>134104</v>
      </c>
      <c r="B120" s="1" t="s">
        <v>31</v>
      </c>
      <c r="C120" s="1" t="s">
        <v>17</v>
      </c>
      <c r="D120" s="1" t="s">
        <v>18</v>
      </c>
      <c r="E120" s="1" t="s">
        <v>32</v>
      </c>
      <c r="F120">
        <v>1466</v>
      </c>
      <c r="G120" s="1" t="s">
        <v>19</v>
      </c>
      <c r="H120" s="1" t="s">
        <v>468</v>
      </c>
      <c r="I120" s="1" t="s">
        <v>469</v>
      </c>
      <c r="J120" s="1" t="s">
        <v>470</v>
      </c>
      <c r="K120" s="1" t="s">
        <v>471</v>
      </c>
      <c r="L120">
        <v>59.9</v>
      </c>
      <c r="M120" s="1" t="s">
        <v>24</v>
      </c>
      <c r="N120" s="2">
        <v>45341.36918681713</v>
      </c>
      <c r="O120" s="1" t="s">
        <v>25</v>
      </c>
      <c r="P120" s="1" t="s">
        <v>26</v>
      </c>
    </row>
    <row r="121" spans="1:16" x14ac:dyDescent="0.3">
      <c r="A121">
        <v>120266</v>
      </c>
      <c r="B121" s="1" t="s">
        <v>49</v>
      </c>
      <c r="C121" s="1" t="s">
        <v>17</v>
      </c>
      <c r="D121" s="1" t="s">
        <v>18</v>
      </c>
      <c r="E121" s="1" t="s">
        <v>17</v>
      </c>
      <c r="F121">
        <v>2328</v>
      </c>
      <c r="G121" s="1" t="s">
        <v>19</v>
      </c>
      <c r="H121" s="1" t="s">
        <v>472</v>
      </c>
      <c r="I121" s="1" t="s">
        <v>473</v>
      </c>
      <c r="J121" s="1" t="s">
        <v>438</v>
      </c>
      <c r="K121" s="1" t="s">
        <v>474</v>
      </c>
      <c r="L121">
        <v>59.9</v>
      </c>
      <c r="M121" s="1" t="s">
        <v>24</v>
      </c>
      <c r="N121" s="2">
        <v>45341.369192500002</v>
      </c>
      <c r="O121" s="1" t="s">
        <v>25</v>
      </c>
      <c r="P121" s="1" t="s">
        <v>26</v>
      </c>
    </row>
    <row r="122" spans="1:16" x14ac:dyDescent="0.3">
      <c r="A122">
        <v>173550</v>
      </c>
      <c r="B122" s="1" t="s">
        <v>31</v>
      </c>
      <c r="C122" s="1" t="s">
        <v>17</v>
      </c>
      <c r="D122" s="1" t="s">
        <v>18</v>
      </c>
      <c r="E122" s="1" t="s">
        <v>32</v>
      </c>
      <c r="F122">
        <v>1431</v>
      </c>
      <c r="G122" s="1" t="s">
        <v>19</v>
      </c>
      <c r="H122" s="1" t="s">
        <v>475</v>
      </c>
      <c r="I122" s="1" t="s">
        <v>476</v>
      </c>
      <c r="J122" s="1" t="s">
        <v>346</v>
      </c>
      <c r="K122" s="1" t="s">
        <v>477</v>
      </c>
      <c r="L122">
        <v>59.9</v>
      </c>
      <c r="M122" s="1" t="s">
        <v>24</v>
      </c>
      <c r="N122" s="2">
        <v>45341.369198310182</v>
      </c>
      <c r="O122" s="1" t="s">
        <v>25</v>
      </c>
      <c r="P122" s="1" t="s">
        <v>26</v>
      </c>
    </row>
    <row r="123" spans="1:16" x14ac:dyDescent="0.3">
      <c r="A123">
        <v>175927</v>
      </c>
      <c r="B123" s="1" t="s">
        <v>31</v>
      </c>
      <c r="C123" s="1" t="s">
        <v>17</v>
      </c>
      <c r="D123" s="1" t="s">
        <v>18</v>
      </c>
      <c r="E123" s="1" t="s">
        <v>32</v>
      </c>
      <c r="F123">
        <v>1506</v>
      </c>
      <c r="G123" s="1" t="s">
        <v>19</v>
      </c>
      <c r="H123" s="1" t="s">
        <v>478</v>
      </c>
      <c r="I123" s="1" t="s">
        <v>479</v>
      </c>
      <c r="J123" s="1" t="s">
        <v>480</v>
      </c>
      <c r="K123" s="1" t="s">
        <v>481</v>
      </c>
      <c r="L123">
        <v>109</v>
      </c>
      <c r="M123" s="1" t="s">
        <v>24</v>
      </c>
      <c r="N123" s="2">
        <v>45341.36920346065</v>
      </c>
      <c r="O123" s="1" t="s">
        <v>25</v>
      </c>
      <c r="P123" s="1" t="s">
        <v>26</v>
      </c>
    </row>
    <row r="124" spans="1:16" x14ac:dyDescent="0.3">
      <c r="A124">
        <v>154278</v>
      </c>
      <c r="B124" s="1" t="s">
        <v>31</v>
      </c>
      <c r="C124" s="1" t="s">
        <v>17</v>
      </c>
      <c r="D124" s="1" t="s">
        <v>18</v>
      </c>
      <c r="E124" s="1" t="s">
        <v>32</v>
      </c>
      <c r="F124">
        <v>2749</v>
      </c>
      <c r="G124" s="1" t="s">
        <v>19</v>
      </c>
      <c r="H124" s="1" t="s">
        <v>482</v>
      </c>
      <c r="I124" s="1" t="s">
        <v>483</v>
      </c>
      <c r="J124" s="1" t="s">
        <v>484</v>
      </c>
      <c r="K124" s="1" t="s">
        <v>485</v>
      </c>
      <c r="L124">
        <v>89.9</v>
      </c>
      <c r="M124" s="1" t="s">
        <v>24</v>
      </c>
      <c r="N124" s="2">
        <v>45341.369208842596</v>
      </c>
      <c r="O124" s="1" t="s">
        <v>25</v>
      </c>
      <c r="P124" s="1" t="s">
        <v>26</v>
      </c>
    </row>
    <row r="125" spans="1:16" x14ac:dyDescent="0.3">
      <c r="A125">
        <v>183537</v>
      </c>
      <c r="B125" s="1" t="s">
        <v>49</v>
      </c>
      <c r="C125" s="1" t="s">
        <v>32</v>
      </c>
      <c r="D125" s="1" t="s">
        <v>18</v>
      </c>
      <c r="E125" s="1" t="s">
        <v>32</v>
      </c>
      <c r="F125">
        <v>2434</v>
      </c>
      <c r="G125" s="1" t="s">
        <v>19</v>
      </c>
      <c r="H125" s="1" t="s">
        <v>486</v>
      </c>
      <c r="I125" s="1" t="s">
        <v>487</v>
      </c>
      <c r="J125" s="1" t="s">
        <v>488</v>
      </c>
      <c r="K125" s="1" t="s">
        <v>489</v>
      </c>
      <c r="L125">
        <v>19.989999999999998</v>
      </c>
      <c r="M125" s="1" t="s">
        <v>24</v>
      </c>
      <c r="N125" s="2">
        <v>45341.369214351849</v>
      </c>
      <c r="O125" s="1" t="s">
        <v>25</v>
      </c>
      <c r="P125" s="1" t="s">
        <v>26</v>
      </c>
    </row>
    <row r="126" spans="1:16" x14ac:dyDescent="0.3">
      <c r="A126">
        <v>150424</v>
      </c>
      <c r="B126" s="1" t="s">
        <v>49</v>
      </c>
      <c r="C126" s="1" t="s">
        <v>17</v>
      </c>
      <c r="D126" s="1" t="s">
        <v>18</v>
      </c>
      <c r="E126" s="1" t="s">
        <v>32</v>
      </c>
      <c r="F126">
        <v>2067</v>
      </c>
      <c r="G126" s="1" t="s">
        <v>19</v>
      </c>
      <c r="H126" s="1" t="s">
        <v>490</v>
      </c>
      <c r="I126" s="1" t="s">
        <v>491</v>
      </c>
      <c r="J126" s="1" t="s">
        <v>492</v>
      </c>
      <c r="K126" s="1" t="s">
        <v>493</v>
      </c>
      <c r="L126">
        <v>79.900000000000006</v>
      </c>
      <c r="M126" s="1" t="s">
        <v>24</v>
      </c>
      <c r="N126" s="2">
        <v>45341.369220324072</v>
      </c>
      <c r="O126" s="1" t="s">
        <v>25</v>
      </c>
      <c r="P126" s="1" t="s">
        <v>26</v>
      </c>
    </row>
    <row r="127" spans="1:16" x14ac:dyDescent="0.3">
      <c r="A127">
        <v>183825</v>
      </c>
      <c r="B127" s="1" t="s">
        <v>16</v>
      </c>
      <c r="C127" s="1" t="s">
        <v>32</v>
      </c>
      <c r="D127" s="1" t="s">
        <v>18</v>
      </c>
      <c r="E127" s="1" t="s">
        <v>32</v>
      </c>
      <c r="F127">
        <v>2989</v>
      </c>
      <c r="G127" s="1" t="s">
        <v>19</v>
      </c>
      <c r="H127" s="1" t="s">
        <v>494</v>
      </c>
      <c r="I127" s="1" t="s">
        <v>495</v>
      </c>
      <c r="J127" s="1" t="s">
        <v>496</v>
      </c>
      <c r="K127" s="1" t="s">
        <v>497</v>
      </c>
      <c r="L127">
        <v>19.989999999999998</v>
      </c>
      <c r="M127" s="1" t="s">
        <v>24</v>
      </c>
      <c r="N127" s="2">
        <v>45341.369226006944</v>
      </c>
      <c r="O127" s="1" t="s">
        <v>25</v>
      </c>
      <c r="P127" s="1" t="s">
        <v>26</v>
      </c>
    </row>
    <row r="128" spans="1:16" x14ac:dyDescent="0.3">
      <c r="A128">
        <v>144012</v>
      </c>
      <c r="B128" s="1" t="s">
        <v>49</v>
      </c>
      <c r="C128" s="1" t="s">
        <v>32</v>
      </c>
      <c r="D128" s="1" t="s">
        <v>18</v>
      </c>
      <c r="E128" s="1" t="s">
        <v>17</v>
      </c>
      <c r="F128">
        <v>743</v>
      </c>
      <c r="G128" s="1" t="s">
        <v>19</v>
      </c>
      <c r="H128" s="1" t="s">
        <v>498</v>
      </c>
      <c r="I128" s="1" t="s">
        <v>499</v>
      </c>
      <c r="J128" s="1" t="s">
        <v>500</v>
      </c>
      <c r="K128" s="1" t="s">
        <v>501</v>
      </c>
      <c r="L128">
        <v>59.9</v>
      </c>
      <c r="M128" s="1" t="s">
        <v>24</v>
      </c>
      <c r="N128" s="2">
        <v>45341.369232442128</v>
      </c>
      <c r="O128" s="1" t="s">
        <v>25</v>
      </c>
      <c r="P128" s="1" t="s">
        <v>26</v>
      </c>
    </row>
    <row r="129" spans="1:16" x14ac:dyDescent="0.3">
      <c r="A129">
        <v>147051</v>
      </c>
      <c r="B129" s="1" t="s">
        <v>49</v>
      </c>
      <c r="C129" s="1" t="s">
        <v>17</v>
      </c>
      <c r="D129" s="1" t="s">
        <v>18</v>
      </c>
      <c r="E129" s="1" t="s">
        <v>17</v>
      </c>
      <c r="F129">
        <v>2325</v>
      </c>
      <c r="G129" s="1" t="s">
        <v>19</v>
      </c>
      <c r="H129" s="1" t="s">
        <v>502</v>
      </c>
      <c r="I129" s="1" t="s">
        <v>503</v>
      </c>
      <c r="J129" s="1" t="s">
        <v>504</v>
      </c>
      <c r="K129" s="1" t="s">
        <v>505</v>
      </c>
      <c r="L129">
        <v>109</v>
      </c>
      <c r="M129" s="1" t="s">
        <v>24</v>
      </c>
      <c r="N129" s="2">
        <v>45341.369237939813</v>
      </c>
      <c r="O129" s="1" t="s">
        <v>25</v>
      </c>
      <c r="P129" s="1" t="s">
        <v>26</v>
      </c>
    </row>
    <row r="130" spans="1:16" x14ac:dyDescent="0.3">
      <c r="A130">
        <v>185800</v>
      </c>
      <c r="B130" s="1" t="s">
        <v>31</v>
      </c>
      <c r="C130" s="1" t="s">
        <v>17</v>
      </c>
      <c r="D130" s="1" t="s">
        <v>18</v>
      </c>
      <c r="E130" s="1" t="s">
        <v>32</v>
      </c>
      <c r="F130">
        <v>1841</v>
      </c>
      <c r="G130" s="1" t="s">
        <v>19</v>
      </c>
      <c r="H130" s="1" t="s">
        <v>506</v>
      </c>
      <c r="I130" s="1" t="s">
        <v>507</v>
      </c>
      <c r="J130" s="1" t="s">
        <v>508</v>
      </c>
      <c r="K130" s="1" t="s">
        <v>509</v>
      </c>
      <c r="L130">
        <v>109</v>
      </c>
      <c r="M130" s="1" t="s">
        <v>24</v>
      </c>
      <c r="N130" s="2">
        <v>45341.369243564812</v>
      </c>
      <c r="O130" s="1" t="s">
        <v>25</v>
      </c>
      <c r="P130" s="1" t="s">
        <v>26</v>
      </c>
    </row>
    <row r="131" spans="1:16" x14ac:dyDescent="0.3">
      <c r="A131">
        <v>197524</v>
      </c>
      <c r="B131" s="1" t="s">
        <v>16</v>
      </c>
      <c r="C131" s="1" t="s">
        <v>32</v>
      </c>
      <c r="D131" s="1" t="s">
        <v>18</v>
      </c>
      <c r="E131" s="1" t="s">
        <v>32</v>
      </c>
      <c r="F131">
        <v>2231</v>
      </c>
      <c r="G131" s="1" t="s">
        <v>19</v>
      </c>
      <c r="H131" s="1" t="s">
        <v>510</v>
      </c>
      <c r="I131" s="1" t="s">
        <v>511</v>
      </c>
      <c r="J131" s="1" t="s">
        <v>438</v>
      </c>
      <c r="K131" s="1" t="s">
        <v>512</v>
      </c>
      <c r="L131">
        <v>49.9</v>
      </c>
      <c r="M131" s="1" t="s">
        <v>24</v>
      </c>
      <c r="N131" s="2">
        <v>45341.369249930554</v>
      </c>
      <c r="O131" s="1" t="s">
        <v>25</v>
      </c>
      <c r="P131" s="1" t="s">
        <v>26</v>
      </c>
    </row>
    <row r="132" spans="1:16" x14ac:dyDescent="0.3">
      <c r="A132">
        <v>148823</v>
      </c>
      <c r="B132" s="1" t="s">
        <v>16</v>
      </c>
      <c r="C132" s="1" t="s">
        <v>17</v>
      </c>
      <c r="D132" s="1" t="s">
        <v>18</v>
      </c>
      <c r="E132" s="1" t="s">
        <v>32</v>
      </c>
      <c r="F132">
        <v>2211</v>
      </c>
      <c r="G132" s="1" t="s">
        <v>19</v>
      </c>
      <c r="H132" s="1" t="s">
        <v>513</v>
      </c>
      <c r="I132" s="1" t="s">
        <v>514</v>
      </c>
      <c r="J132" s="1" t="s">
        <v>515</v>
      </c>
      <c r="K132" s="1" t="s">
        <v>516</v>
      </c>
      <c r="L132">
        <v>89.9</v>
      </c>
      <c r="M132" s="1" t="s">
        <v>24</v>
      </c>
      <c r="N132" s="2">
        <v>45341.37532900463</v>
      </c>
      <c r="O132" s="1" t="s">
        <v>517</v>
      </c>
      <c r="P132" s="1" t="s">
        <v>26</v>
      </c>
    </row>
    <row r="133" spans="1:16" x14ac:dyDescent="0.3">
      <c r="A133">
        <v>114550</v>
      </c>
      <c r="B133" s="1" t="s">
        <v>31</v>
      </c>
      <c r="C133" s="1" t="s">
        <v>17</v>
      </c>
      <c r="D133" s="1" t="s">
        <v>18</v>
      </c>
      <c r="E133" s="1" t="s">
        <v>17</v>
      </c>
      <c r="F133">
        <v>2114</v>
      </c>
      <c r="G133" s="1" t="s">
        <v>19</v>
      </c>
      <c r="H133" s="1" t="s">
        <v>518</v>
      </c>
      <c r="I133" s="1" t="s">
        <v>519</v>
      </c>
      <c r="J133" s="1" t="s">
        <v>520</v>
      </c>
      <c r="K133" s="1" t="s">
        <v>521</v>
      </c>
      <c r="L133">
        <v>69.900000000000006</v>
      </c>
      <c r="M133" s="1" t="s">
        <v>24</v>
      </c>
      <c r="N133" s="2">
        <v>45341.375336168981</v>
      </c>
      <c r="O133" s="1" t="s">
        <v>517</v>
      </c>
      <c r="P133" s="1" t="s">
        <v>26</v>
      </c>
    </row>
    <row r="134" spans="1:16" x14ac:dyDescent="0.3">
      <c r="A134">
        <v>125398</v>
      </c>
      <c r="B134" s="1" t="s">
        <v>16</v>
      </c>
      <c r="C134" s="1" t="s">
        <v>32</v>
      </c>
      <c r="D134" s="1" t="s">
        <v>18</v>
      </c>
      <c r="E134" s="1" t="s">
        <v>32</v>
      </c>
      <c r="F134">
        <v>1350</v>
      </c>
      <c r="G134" s="1" t="s">
        <v>19</v>
      </c>
      <c r="H134" s="1" t="s">
        <v>522</v>
      </c>
      <c r="I134" s="1" t="s">
        <v>523</v>
      </c>
      <c r="J134" s="1" t="s">
        <v>524</v>
      </c>
      <c r="K134" s="1" t="s">
        <v>525</v>
      </c>
      <c r="L134">
        <v>69.900000000000006</v>
      </c>
      <c r="M134" s="1" t="s">
        <v>24</v>
      </c>
      <c r="N134" s="2">
        <v>45341.375347974536</v>
      </c>
      <c r="O134" s="1" t="s">
        <v>517</v>
      </c>
      <c r="P134" s="1" t="s">
        <v>26</v>
      </c>
    </row>
    <row r="135" spans="1:16" x14ac:dyDescent="0.3">
      <c r="A135">
        <v>123985</v>
      </c>
      <c r="B135" s="1" t="s">
        <v>31</v>
      </c>
      <c r="C135" s="1" t="s">
        <v>17</v>
      </c>
      <c r="D135" s="1" t="s">
        <v>18</v>
      </c>
      <c r="E135" s="1" t="s">
        <v>17</v>
      </c>
      <c r="F135">
        <v>2240</v>
      </c>
      <c r="G135" s="1" t="s">
        <v>19</v>
      </c>
      <c r="H135" s="1" t="s">
        <v>526</v>
      </c>
      <c r="I135" s="1" t="s">
        <v>527</v>
      </c>
      <c r="J135" s="1" t="s">
        <v>528</v>
      </c>
      <c r="K135" s="1" t="s">
        <v>529</v>
      </c>
      <c r="L135">
        <v>69.900000000000006</v>
      </c>
      <c r="M135" s="1" t="s">
        <v>24</v>
      </c>
      <c r="N135" s="2">
        <v>45341.37535746528</v>
      </c>
      <c r="O135" s="1" t="s">
        <v>517</v>
      </c>
      <c r="P135" s="1" t="s">
        <v>26</v>
      </c>
    </row>
    <row r="136" spans="1:16" x14ac:dyDescent="0.3">
      <c r="A136">
        <v>186638</v>
      </c>
      <c r="B136" s="1" t="s">
        <v>31</v>
      </c>
      <c r="C136" s="1" t="s">
        <v>32</v>
      </c>
      <c r="D136" s="1" t="s">
        <v>18</v>
      </c>
      <c r="E136" s="1" t="s">
        <v>17</v>
      </c>
      <c r="F136">
        <v>1296</v>
      </c>
      <c r="G136" s="1" t="s">
        <v>19</v>
      </c>
      <c r="H136" s="1" t="s">
        <v>530</v>
      </c>
      <c r="I136" s="1" t="s">
        <v>531</v>
      </c>
      <c r="J136" s="1" t="s">
        <v>532</v>
      </c>
      <c r="K136" s="1" t="s">
        <v>533</v>
      </c>
      <c r="L136">
        <v>59.9</v>
      </c>
      <c r="M136" s="1" t="s">
        <v>24</v>
      </c>
      <c r="N136" s="2">
        <v>45341.375363622683</v>
      </c>
      <c r="O136" s="1" t="s">
        <v>517</v>
      </c>
      <c r="P136" s="1" t="s">
        <v>26</v>
      </c>
    </row>
    <row r="137" spans="1:16" x14ac:dyDescent="0.3">
      <c r="A137">
        <v>167281</v>
      </c>
      <c r="B137" s="1" t="s">
        <v>31</v>
      </c>
      <c r="C137" s="1" t="s">
        <v>32</v>
      </c>
      <c r="D137" s="1" t="s">
        <v>18</v>
      </c>
      <c r="E137" s="1" t="s">
        <v>32</v>
      </c>
      <c r="F137">
        <v>892</v>
      </c>
      <c r="G137" s="1" t="s">
        <v>19</v>
      </c>
      <c r="H137" s="1" t="s">
        <v>534</v>
      </c>
      <c r="I137" s="1" t="s">
        <v>535</v>
      </c>
      <c r="J137" s="1" t="s">
        <v>536</v>
      </c>
      <c r="K137" s="1" t="s">
        <v>537</v>
      </c>
      <c r="L137">
        <v>59.9</v>
      </c>
      <c r="M137" s="1" t="s">
        <v>24</v>
      </c>
      <c r="N137" s="2">
        <v>45341.375370694448</v>
      </c>
      <c r="O137" s="1" t="s">
        <v>517</v>
      </c>
      <c r="P137" s="1" t="s">
        <v>26</v>
      </c>
    </row>
    <row r="138" spans="1:16" x14ac:dyDescent="0.3">
      <c r="A138">
        <v>118578</v>
      </c>
      <c r="B138" s="1" t="s">
        <v>31</v>
      </c>
      <c r="C138" s="1" t="s">
        <v>17</v>
      </c>
      <c r="D138" s="1" t="s">
        <v>18</v>
      </c>
      <c r="E138" s="1" t="s">
        <v>32</v>
      </c>
      <c r="F138">
        <v>1678</v>
      </c>
      <c r="G138" s="1" t="s">
        <v>19</v>
      </c>
      <c r="H138" s="1" t="s">
        <v>538</v>
      </c>
      <c r="I138" s="1" t="s">
        <v>539</v>
      </c>
      <c r="J138" s="1" t="s">
        <v>540</v>
      </c>
      <c r="K138" s="1" t="s">
        <v>541</v>
      </c>
      <c r="L138">
        <v>49.9</v>
      </c>
      <c r="M138" s="1" t="s">
        <v>24</v>
      </c>
      <c r="N138" s="2">
        <v>45341.375378067132</v>
      </c>
      <c r="O138" s="1" t="s">
        <v>517</v>
      </c>
      <c r="P138" s="1" t="s">
        <v>26</v>
      </c>
    </row>
    <row r="139" spans="1:16" x14ac:dyDescent="0.3">
      <c r="A139">
        <v>174041</v>
      </c>
      <c r="B139" s="1" t="s">
        <v>31</v>
      </c>
      <c r="C139" s="1" t="s">
        <v>17</v>
      </c>
      <c r="D139" s="1" t="s">
        <v>18</v>
      </c>
      <c r="E139" s="1" t="s">
        <v>17</v>
      </c>
      <c r="F139">
        <v>2016</v>
      </c>
      <c r="G139" s="1" t="s">
        <v>19</v>
      </c>
      <c r="H139" s="1" t="s">
        <v>542</v>
      </c>
      <c r="I139" s="1" t="s">
        <v>543</v>
      </c>
      <c r="J139" s="1" t="s">
        <v>544</v>
      </c>
      <c r="K139" s="1" t="s">
        <v>545</v>
      </c>
      <c r="L139">
        <v>49.9</v>
      </c>
      <c r="M139" s="1" t="s">
        <v>24</v>
      </c>
      <c r="N139" s="2">
        <v>45341.375386354164</v>
      </c>
      <c r="O139" s="1" t="s">
        <v>517</v>
      </c>
      <c r="P139" s="1" t="s">
        <v>26</v>
      </c>
    </row>
    <row r="140" spans="1:16" x14ac:dyDescent="0.3">
      <c r="A140">
        <v>127644</v>
      </c>
      <c r="B140" s="1" t="s">
        <v>49</v>
      </c>
      <c r="C140" s="1" t="s">
        <v>17</v>
      </c>
      <c r="D140" s="1" t="s">
        <v>18</v>
      </c>
      <c r="E140" s="1" t="s">
        <v>32</v>
      </c>
      <c r="F140">
        <v>1498</v>
      </c>
      <c r="G140" s="1" t="s">
        <v>19</v>
      </c>
      <c r="H140" s="1" t="s">
        <v>546</v>
      </c>
      <c r="I140" s="1" t="s">
        <v>547</v>
      </c>
      <c r="J140" s="1" t="s">
        <v>548</v>
      </c>
      <c r="K140" s="1" t="s">
        <v>549</v>
      </c>
      <c r="L140">
        <v>45.9</v>
      </c>
      <c r="M140" s="1" t="s">
        <v>24</v>
      </c>
      <c r="N140" s="2">
        <v>45341.37539371528</v>
      </c>
      <c r="O140" s="1" t="s">
        <v>517</v>
      </c>
      <c r="P140" s="1" t="s">
        <v>26</v>
      </c>
    </row>
    <row r="141" spans="1:16" x14ac:dyDescent="0.3">
      <c r="A141">
        <v>132007</v>
      </c>
      <c r="B141" s="1" t="s">
        <v>16</v>
      </c>
      <c r="C141" s="1" t="s">
        <v>17</v>
      </c>
      <c r="D141" s="1" t="s">
        <v>18</v>
      </c>
      <c r="E141" s="1" t="s">
        <v>32</v>
      </c>
      <c r="F141">
        <v>2491</v>
      </c>
      <c r="G141" s="1" t="s">
        <v>19</v>
      </c>
      <c r="H141" s="1" t="s">
        <v>550</v>
      </c>
      <c r="I141" s="1" t="s">
        <v>551</v>
      </c>
      <c r="J141" s="1" t="s">
        <v>552</v>
      </c>
      <c r="K141" s="1" t="s">
        <v>553</v>
      </c>
      <c r="L141">
        <v>9.99</v>
      </c>
      <c r="M141" s="1" t="s">
        <v>24</v>
      </c>
      <c r="N141" s="2">
        <v>45341.375404976854</v>
      </c>
      <c r="O141" s="1" t="s">
        <v>517</v>
      </c>
      <c r="P141" s="1" t="s">
        <v>26</v>
      </c>
    </row>
    <row r="142" spans="1:16" x14ac:dyDescent="0.3">
      <c r="A142">
        <v>147998</v>
      </c>
      <c r="B142" s="1" t="s">
        <v>16</v>
      </c>
      <c r="C142" s="1" t="s">
        <v>17</v>
      </c>
      <c r="D142" s="1" t="s">
        <v>18</v>
      </c>
      <c r="E142" s="1" t="s">
        <v>17</v>
      </c>
      <c r="F142">
        <v>2556</v>
      </c>
      <c r="G142" s="1" t="s">
        <v>19</v>
      </c>
      <c r="H142" s="1" t="s">
        <v>554</v>
      </c>
      <c r="I142" s="1" t="s">
        <v>555</v>
      </c>
      <c r="J142" s="1" t="s">
        <v>556</v>
      </c>
      <c r="K142" s="1" t="s">
        <v>557</v>
      </c>
      <c r="L142">
        <v>9.99</v>
      </c>
      <c r="M142" s="1" t="s">
        <v>24</v>
      </c>
      <c r="N142" s="2">
        <v>45341.375419548611</v>
      </c>
      <c r="O142" s="1" t="s">
        <v>517</v>
      </c>
      <c r="P142" s="1" t="s">
        <v>26</v>
      </c>
    </row>
    <row r="143" spans="1:16" x14ac:dyDescent="0.3">
      <c r="A143">
        <v>176666</v>
      </c>
      <c r="B143" s="1" t="s">
        <v>16</v>
      </c>
      <c r="C143" s="1" t="s">
        <v>32</v>
      </c>
      <c r="D143" s="1" t="s">
        <v>18</v>
      </c>
      <c r="E143" s="1" t="s">
        <v>17</v>
      </c>
      <c r="F143">
        <v>2852</v>
      </c>
      <c r="G143" s="1" t="s">
        <v>19</v>
      </c>
      <c r="H143" s="1" t="s">
        <v>558</v>
      </c>
      <c r="I143" s="1" t="s">
        <v>559</v>
      </c>
      <c r="J143" s="1" t="s">
        <v>560</v>
      </c>
      <c r="K143" s="1" t="s">
        <v>561</v>
      </c>
      <c r="L143">
        <v>45.9</v>
      </c>
      <c r="M143" s="1" t="s">
        <v>24</v>
      </c>
      <c r="N143" s="2">
        <v>45341.375429131942</v>
      </c>
      <c r="O143" s="1" t="s">
        <v>517</v>
      </c>
      <c r="P143" s="1" t="s">
        <v>26</v>
      </c>
    </row>
    <row r="144" spans="1:16" x14ac:dyDescent="0.3">
      <c r="A144">
        <v>193686</v>
      </c>
      <c r="B144" s="1" t="s">
        <v>16</v>
      </c>
      <c r="C144" s="1" t="s">
        <v>32</v>
      </c>
      <c r="D144" s="1" t="s">
        <v>18</v>
      </c>
      <c r="E144" s="1" t="s">
        <v>17</v>
      </c>
      <c r="F144">
        <v>1899</v>
      </c>
      <c r="G144" s="1" t="s">
        <v>19</v>
      </c>
      <c r="H144" s="1" t="s">
        <v>562</v>
      </c>
      <c r="I144" s="1" t="s">
        <v>563</v>
      </c>
      <c r="J144" s="1" t="s">
        <v>564</v>
      </c>
      <c r="K144" s="1" t="s">
        <v>565</v>
      </c>
      <c r="L144">
        <v>99.9</v>
      </c>
      <c r="M144" s="1" t="s">
        <v>24</v>
      </c>
      <c r="N144" s="2">
        <v>45341.375435532405</v>
      </c>
      <c r="O144" s="1" t="s">
        <v>517</v>
      </c>
      <c r="P144" s="1" t="s">
        <v>26</v>
      </c>
    </row>
    <row r="145" spans="1:16" x14ac:dyDescent="0.3">
      <c r="A145">
        <v>163610</v>
      </c>
      <c r="B145" s="1" t="s">
        <v>49</v>
      </c>
      <c r="C145" s="1" t="s">
        <v>32</v>
      </c>
      <c r="D145" s="1" t="s">
        <v>18</v>
      </c>
      <c r="E145" s="1" t="s">
        <v>17</v>
      </c>
      <c r="F145">
        <v>2466</v>
      </c>
      <c r="G145" s="1" t="s">
        <v>19</v>
      </c>
      <c r="H145" s="1" t="s">
        <v>566</v>
      </c>
      <c r="I145" s="1" t="s">
        <v>567</v>
      </c>
      <c r="J145" s="1" t="s">
        <v>568</v>
      </c>
      <c r="K145" s="1" t="s">
        <v>569</v>
      </c>
      <c r="L145">
        <v>89.9</v>
      </c>
      <c r="M145" s="1" t="s">
        <v>24</v>
      </c>
      <c r="N145" s="2">
        <v>45341.375447118058</v>
      </c>
      <c r="O145" s="1" t="s">
        <v>517</v>
      </c>
      <c r="P145" s="1" t="s">
        <v>26</v>
      </c>
    </row>
    <row r="146" spans="1:16" x14ac:dyDescent="0.3">
      <c r="A146">
        <v>170364</v>
      </c>
      <c r="B146" s="1" t="s">
        <v>16</v>
      </c>
      <c r="C146" s="1" t="s">
        <v>17</v>
      </c>
      <c r="D146" s="1" t="s">
        <v>18</v>
      </c>
      <c r="E146" s="1" t="s">
        <v>17</v>
      </c>
      <c r="F146">
        <v>818</v>
      </c>
      <c r="G146" s="1" t="s">
        <v>19</v>
      </c>
      <c r="H146" s="1" t="s">
        <v>570</v>
      </c>
      <c r="I146" s="1" t="s">
        <v>571</v>
      </c>
      <c r="J146" s="1" t="s">
        <v>572</v>
      </c>
      <c r="K146" s="1" t="s">
        <v>573</v>
      </c>
      <c r="L146">
        <v>45.9</v>
      </c>
      <c r="M146" s="1" t="s">
        <v>24</v>
      </c>
      <c r="N146" s="2">
        <v>45341.375455914349</v>
      </c>
      <c r="O146" s="1" t="s">
        <v>517</v>
      </c>
      <c r="P146" s="1" t="s">
        <v>26</v>
      </c>
    </row>
    <row r="147" spans="1:16" x14ac:dyDescent="0.3">
      <c r="A147">
        <v>167599</v>
      </c>
      <c r="B147" s="1" t="s">
        <v>16</v>
      </c>
      <c r="C147" s="1" t="s">
        <v>17</v>
      </c>
      <c r="D147" s="1" t="s">
        <v>18</v>
      </c>
      <c r="E147" s="1" t="s">
        <v>17</v>
      </c>
      <c r="F147">
        <v>1500</v>
      </c>
      <c r="G147" s="1" t="s">
        <v>19</v>
      </c>
      <c r="H147" s="1" t="s">
        <v>574</v>
      </c>
      <c r="I147" s="1" t="s">
        <v>575</v>
      </c>
      <c r="J147" s="1" t="s">
        <v>576</v>
      </c>
      <c r="K147" s="1" t="s">
        <v>577</v>
      </c>
      <c r="L147">
        <v>59.9</v>
      </c>
      <c r="M147" s="1" t="s">
        <v>24</v>
      </c>
      <c r="N147" s="2">
        <v>45341.37546815972</v>
      </c>
      <c r="O147" s="1" t="s">
        <v>517</v>
      </c>
      <c r="P147" s="1" t="s">
        <v>26</v>
      </c>
    </row>
    <row r="148" spans="1:16" x14ac:dyDescent="0.3">
      <c r="A148">
        <v>166421</v>
      </c>
      <c r="B148" s="1" t="s">
        <v>31</v>
      </c>
      <c r="C148" s="1" t="s">
        <v>32</v>
      </c>
      <c r="D148" s="1" t="s">
        <v>18</v>
      </c>
      <c r="E148" s="1" t="s">
        <v>17</v>
      </c>
      <c r="F148">
        <v>2878</v>
      </c>
      <c r="G148" s="1" t="s">
        <v>19</v>
      </c>
      <c r="H148" s="1" t="s">
        <v>578</v>
      </c>
      <c r="I148" s="1" t="s">
        <v>579</v>
      </c>
      <c r="J148" s="1" t="s">
        <v>580</v>
      </c>
      <c r="K148" s="1" t="s">
        <v>581</v>
      </c>
      <c r="L148">
        <v>79.900000000000006</v>
      </c>
      <c r="M148" s="1" t="s">
        <v>24</v>
      </c>
      <c r="N148" s="2">
        <v>45341.375482696756</v>
      </c>
      <c r="O148" s="1" t="s">
        <v>517</v>
      </c>
      <c r="P148" s="1" t="s">
        <v>26</v>
      </c>
    </row>
    <row r="149" spans="1:16" x14ac:dyDescent="0.3">
      <c r="A149">
        <v>129247</v>
      </c>
      <c r="B149" s="1" t="s">
        <v>49</v>
      </c>
      <c r="C149" s="1" t="s">
        <v>32</v>
      </c>
      <c r="D149" s="1" t="s">
        <v>18</v>
      </c>
      <c r="E149" s="1" t="s">
        <v>17</v>
      </c>
      <c r="F149">
        <v>2386</v>
      </c>
      <c r="G149" s="1" t="s">
        <v>19</v>
      </c>
      <c r="H149" s="1" t="s">
        <v>582</v>
      </c>
      <c r="I149" s="1" t="s">
        <v>583</v>
      </c>
      <c r="J149" s="1" t="s">
        <v>584</v>
      </c>
      <c r="K149" s="1" t="s">
        <v>585</v>
      </c>
      <c r="L149">
        <v>69.900000000000006</v>
      </c>
      <c r="M149" s="1" t="s">
        <v>24</v>
      </c>
      <c r="N149" s="2">
        <v>45341.37549046296</v>
      </c>
      <c r="O149" s="1" t="s">
        <v>517</v>
      </c>
      <c r="P149" s="1" t="s">
        <v>26</v>
      </c>
    </row>
    <row r="150" spans="1:16" x14ac:dyDescent="0.3">
      <c r="A150">
        <v>127314</v>
      </c>
      <c r="B150" s="1" t="s">
        <v>31</v>
      </c>
      <c r="C150" s="1" t="s">
        <v>32</v>
      </c>
      <c r="D150" s="1" t="s">
        <v>18</v>
      </c>
      <c r="E150" s="1" t="s">
        <v>32</v>
      </c>
      <c r="F150">
        <v>2076</v>
      </c>
      <c r="G150" s="1" t="s">
        <v>19</v>
      </c>
      <c r="H150" s="1" t="s">
        <v>586</v>
      </c>
      <c r="I150" s="1" t="s">
        <v>587</v>
      </c>
      <c r="J150" s="1" t="s">
        <v>588</v>
      </c>
      <c r="K150" s="1" t="s">
        <v>589</v>
      </c>
      <c r="L150">
        <v>99.9</v>
      </c>
      <c r="M150" s="1" t="s">
        <v>24</v>
      </c>
      <c r="N150" s="2">
        <v>45341.375499374997</v>
      </c>
      <c r="O150" s="1" t="s">
        <v>517</v>
      </c>
      <c r="P150" s="1" t="s">
        <v>26</v>
      </c>
    </row>
    <row r="151" spans="1:16" x14ac:dyDescent="0.3">
      <c r="A151">
        <v>111979</v>
      </c>
      <c r="B151" s="1" t="s">
        <v>49</v>
      </c>
      <c r="C151" s="1" t="s">
        <v>17</v>
      </c>
      <c r="D151" s="1" t="s">
        <v>18</v>
      </c>
      <c r="E151" s="1" t="s">
        <v>17</v>
      </c>
      <c r="F151">
        <v>2734</v>
      </c>
      <c r="G151" s="1" t="s">
        <v>19</v>
      </c>
      <c r="H151" s="1" t="s">
        <v>590</v>
      </c>
      <c r="I151" s="1" t="s">
        <v>591</v>
      </c>
      <c r="J151" s="1" t="s">
        <v>592</v>
      </c>
      <c r="K151" s="1" t="s">
        <v>593</v>
      </c>
      <c r="L151">
        <v>59.9</v>
      </c>
      <c r="M151" s="1" t="s">
        <v>24</v>
      </c>
      <c r="N151" s="2">
        <v>45341.375504398151</v>
      </c>
      <c r="O151" s="1" t="s">
        <v>517</v>
      </c>
      <c r="P151" s="1" t="s">
        <v>26</v>
      </c>
    </row>
    <row r="152" spans="1:16" x14ac:dyDescent="0.3">
      <c r="A152">
        <v>120354</v>
      </c>
      <c r="B152" s="1" t="s">
        <v>16</v>
      </c>
      <c r="C152" s="1" t="s">
        <v>32</v>
      </c>
      <c r="D152" s="1" t="s">
        <v>18</v>
      </c>
      <c r="E152" s="1" t="s">
        <v>17</v>
      </c>
      <c r="F152">
        <v>2836</v>
      </c>
      <c r="G152" s="1" t="s">
        <v>19</v>
      </c>
      <c r="H152" s="1" t="s">
        <v>594</v>
      </c>
      <c r="I152" s="1" t="s">
        <v>595</v>
      </c>
      <c r="J152" s="1" t="s">
        <v>596</v>
      </c>
      <c r="K152" s="1" t="s">
        <v>597</v>
      </c>
      <c r="L152">
        <v>59.9</v>
      </c>
      <c r="M152" s="1" t="s">
        <v>24</v>
      </c>
      <c r="N152" s="2">
        <v>45341.375514976855</v>
      </c>
      <c r="O152" s="1" t="s">
        <v>517</v>
      </c>
      <c r="P152" s="1" t="s">
        <v>26</v>
      </c>
    </row>
    <row r="153" spans="1:16" x14ac:dyDescent="0.3">
      <c r="A153">
        <v>144848</v>
      </c>
      <c r="B153" s="1" t="s">
        <v>49</v>
      </c>
      <c r="C153" s="1" t="s">
        <v>17</v>
      </c>
      <c r="D153" s="1" t="s">
        <v>18</v>
      </c>
      <c r="E153" s="1" t="s">
        <v>17</v>
      </c>
      <c r="F153">
        <v>2193</v>
      </c>
      <c r="G153" s="1" t="s">
        <v>19</v>
      </c>
      <c r="H153" s="1" t="s">
        <v>598</v>
      </c>
      <c r="I153" s="1" t="s">
        <v>599</v>
      </c>
      <c r="J153" s="1" t="s">
        <v>600</v>
      </c>
      <c r="K153" s="1" t="s">
        <v>601</v>
      </c>
      <c r="L153">
        <v>89.9</v>
      </c>
      <c r="M153" s="1" t="s">
        <v>24</v>
      </c>
      <c r="N153" s="2">
        <v>45341.375531655096</v>
      </c>
      <c r="O153" s="1" t="s">
        <v>517</v>
      </c>
      <c r="P153" s="1" t="s">
        <v>26</v>
      </c>
    </row>
    <row r="154" spans="1:16" x14ac:dyDescent="0.3">
      <c r="A154">
        <v>111957</v>
      </c>
      <c r="B154" s="1" t="s">
        <v>16</v>
      </c>
      <c r="C154" s="1" t="s">
        <v>32</v>
      </c>
      <c r="D154" s="1" t="s">
        <v>18</v>
      </c>
      <c r="E154" s="1" t="s">
        <v>17</v>
      </c>
      <c r="F154">
        <v>2164</v>
      </c>
      <c r="G154" s="1" t="s">
        <v>19</v>
      </c>
      <c r="H154" s="1" t="s">
        <v>602</v>
      </c>
      <c r="I154" s="1" t="s">
        <v>603</v>
      </c>
      <c r="J154" s="1" t="s">
        <v>604</v>
      </c>
      <c r="K154" s="1" t="s">
        <v>605</v>
      </c>
      <c r="L154">
        <v>89.9</v>
      </c>
      <c r="M154" s="1" t="s">
        <v>24</v>
      </c>
      <c r="N154" s="2">
        <v>45341.375539687499</v>
      </c>
      <c r="O154" s="1" t="s">
        <v>517</v>
      </c>
      <c r="P154" s="1" t="s">
        <v>26</v>
      </c>
    </row>
    <row r="155" spans="1:16" x14ac:dyDescent="0.3">
      <c r="A155">
        <v>160763</v>
      </c>
      <c r="B155" s="1" t="s">
        <v>49</v>
      </c>
      <c r="C155" s="1" t="s">
        <v>32</v>
      </c>
      <c r="D155" s="1" t="s">
        <v>18</v>
      </c>
      <c r="E155" s="1" t="s">
        <v>32</v>
      </c>
      <c r="F155">
        <v>991</v>
      </c>
      <c r="G155" s="1" t="s">
        <v>19</v>
      </c>
      <c r="H155" s="1" t="s">
        <v>606</v>
      </c>
      <c r="I155" s="1" t="s">
        <v>607</v>
      </c>
      <c r="J155" s="1" t="s">
        <v>608</v>
      </c>
      <c r="K155" s="1" t="s">
        <v>609</v>
      </c>
      <c r="L155">
        <v>45.9</v>
      </c>
      <c r="M155" s="1" t="s">
        <v>24</v>
      </c>
      <c r="N155" s="2">
        <v>45341.375545844909</v>
      </c>
      <c r="O155" s="1" t="s">
        <v>517</v>
      </c>
      <c r="P155" s="1" t="s">
        <v>26</v>
      </c>
    </row>
    <row r="156" spans="1:16" x14ac:dyDescent="0.3">
      <c r="A156">
        <v>168270</v>
      </c>
      <c r="B156" s="1" t="s">
        <v>31</v>
      </c>
      <c r="C156" s="1" t="s">
        <v>32</v>
      </c>
      <c r="D156" s="1" t="s">
        <v>18</v>
      </c>
      <c r="E156" s="1" t="s">
        <v>32</v>
      </c>
      <c r="F156">
        <v>1525</v>
      </c>
      <c r="G156" s="1" t="s">
        <v>19</v>
      </c>
      <c r="H156" s="1" t="s">
        <v>610</v>
      </c>
      <c r="I156" s="1" t="s">
        <v>611</v>
      </c>
      <c r="J156" s="1" t="s">
        <v>544</v>
      </c>
      <c r="K156" s="1" t="s">
        <v>612</v>
      </c>
      <c r="L156">
        <v>69.900000000000006</v>
      </c>
      <c r="M156" s="1" t="s">
        <v>24</v>
      </c>
      <c r="N156" s="2">
        <v>45341.375551886573</v>
      </c>
      <c r="O156" s="1" t="s">
        <v>517</v>
      </c>
      <c r="P156" s="1" t="s">
        <v>26</v>
      </c>
    </row>
    <row r="157" spans="1:16" x14ac:dyDescent="0.3">
      <c r="A157">
        <v>195082</v>
      </c>
      <c r="B157" s="1" t="s">
        <v>49</v>
      </c>
      <c r="C157" s="1" t="s">
        <v>17</v>
      </c>
      <c r="D157" s="1" t="s">
        <v>18</v>
      </c>
      <c r="E157" s="1" t="s">
        <v>17</v>
      </c>
      <c r="F157">
        <v>923</v>
      </c>
      <c r="G157" s="1" t="s">
        <v>19</v>
      </c>
      <c r="H157" s="1" t="s">
        <v>613</v>
      </c>
      <c r="I157" s="1" t="s">
        <v>614</v>
      </c>
      <c r="J157" s="1" t="s">
        <v>615</v>
      </c>
      <c r="K157" s="1" t="s">
        <v>616</v>
      </c>
      <c r="L157">
        <v>69.900000000000006</v>
      </c>
      <c r="M157" s="1" t="s">
        <v>24</v>
      </c>
      <c r="N157" s="2">
        <v>45341.375558263891</v>
      </c>
      <c r="O157" s="1" t="s">
        <v>517</v>
      </c>
      <c r="P157" s="1" t="s">
        <v>26</v>
      </c>
    </row>
    <row r="158" spans="1:16" x14ac:dyDescent="0.3">
      <c r="A158">
        <v>110329</v>
      </c>
      <c r="B158" s="1" t="s">
        <v>49</v>
      </c>
      <c r="C158" s="1" t="s">
        <v>17</v>
      </c>
      <c r="D158" s="1" t="s">
        <v>18</v>
      </c>
      <c r="E158" s="1" t="s">
        <v>32</v>
      </c>
      <c r="F158">
        <v>2397</v>
      </c>
      <c r="G158" s="1" t="s">
        <v>19</v>
      </c>
      <c r="H158" s="1" t="s">
        <v>617</v>
      </c>
      <c r="I158" s="1" t="s">
        <v>618</v>
      </c>
      <c r="J158" s="1" t="s">
        <v>619</v>
      </c>
      <c r="K158" s="1" t="s">
        <v>620</v>
      </c>
      <c r="L158">
        <v>69.900000000000006</v>
      </c>
      <c r="M158" s="1" t="s">
        <v>24</v>
      </c>
      <c r="N158" s="2">
        <v>45341.375565486109</v>
      </c>
      <c r="O158" s="1" t="s">
        <v>517</v>
      </c>
      <c r="P158" s="1" t="s">
        <v>26</v>
      </c>
    </row>
    <row r="159" spans="1:16" x14ac:dyDescent="0.3">
      <c r="A159">
        <v>147449</v>
      </c>
      <c r="B159" s="1" t="s">
        <v>31</v>
      </c>
      <c r="C159" s="1" t="s">
        <v>17</v>
      </c>
      <c r="D159" s="1" t="s">
        <v>18</v>
      </c>
      <c r="E159" s="1" t="s">
        <v>17</v>
      </c>
      <c r="F159">
        <v>1191</v>
      </c>
      <c r="G159" s="1" t="s">
        <v>19</v>
      </c>
      <c r="H159" s="1" t="s">
        <v>621</v>
      </c>
      <c r="I159" s="1" t="s">
        <v>622</v>
      </c>
      <c r="J159" s="1" t="s">
        <v>623</v>
      </c>
      <c r="K159" s="1" t="s">
        <v>624</v>
      </c>
      <c r="L159">
        <v>69.900000000000006</v>
      </c>
      <c r="M159" s="1" t="s">
        <v>24</v>
      </c>
      <c r="N159" s="2">
        <v>45341.375571736113</v>
      </c>
      <c r="O159" s="1" t="s">
        <v>517</v>
      </c>
      <c r="P159" s="1" t="s">
        <v>26</v>
      </c>
    </row>
    <row r="160" spans="1:16" x14ac:dyDescent="0.3">
      <c r="A160">
        <v>193332</v>
      </c>
      <c r="B160" s="1" t="s">
        <v>16</v>
      </c>
      <c r="C160" s="1" t="s">
        <v>32</v>
      </c>
      <c r="D160" s="1" t="s">
        <v>18</v>
      </c>
      <c r="E160" s="1" t="s">
        <v>17</v>
      </c>
      <c r="F160">
        <v>1237</v>
      </c>
      <c r="G160" s="1" t="s">
        <v>19</v>
      </c>
      <c r="H160" s="1" t="s">
        <v>625</v>
      </c>
      <c r="I160" s="1" t="s">
        <v>626</v>
      </c>
      <c r="J160" s="1" t="s">
        <v>627</v>
      </c>
      <c r="K160" s="1" t="s">
        <v>628</v>
      </c>
      <c r="L160">
        <v>49.9</v>
      </c>
      <c r="M160" s="1" t="s">
        <v>24</v>
      </c>
      <c r="N160" s="2">
        <v>45341.375577361112</v>
      </c>
      <c r="O160" s="1" t="s">
        <v>517</v>
      </c>
      <c r="P160" s="1" t="s">
        <v>26</v>
      </c>
    </row>
    <row r="161" spans="1:16" x14ac:dyDescent="0.3">
      <c r="A161">
        <v>146804</v>
      </c>
      <c r="B161" s="1" t="s">
        <v>16</v>
      </c>
      <c r="C161" s="1" t="s">
        <v>32</v>
      </c>
      <c r="D161" s="1" t="s">
        <v>18</v>
      </c>
      <c r="E161" s="1" t="s">
        <v>17</v>
      </c>
      <c r="F161">
        <v>1504</v>
      </c>
      <c r="G161" s="1" t="s">
        <v>19</v>
      </c>
      <c r="H161" s="1" t="s">
        <v>629</v>
      </c>
      <c r="I161" s="1" t="s">
        <v>630</v>
      </c>
      <c r="J161" s="1" t="s">
        <v>584</v>
      </c>
      <c r="K161" s="1" t="s">
        <v>631</v>
      </c>
      <c r="L161">
        <v>69.900000000000006</v>
      </c>
      <c r="M161" s="1" t="s">
        <v>24</v>
      </c>
      <c r="N161" s="2">
        <v>45341.375596180558</v>
      </c>
      <c r="O161" s="1" t="s">
        <v>517</v>
      </c>
      <c r="P161" s="1" t="s">
        <v>26</v>
      </c>
    </row>
    <row r="162" spans="1:16" x14ac:dyDescent="0.3">
      <c r="A162">
        <v>188909</v>
      </c>
      <c r="B162" s="1" t="s">
        <v>16</v>
      </c>
      <c r="C162" s="1" t="s">
        <v>32</v>
      </c>
      <c r="D162" s="1" t="s">
        <v>18</v>
      </c>
      <c r="E162" s="1" t="s">
        <v>32</v>
      </c>
      <c r="F162">
        <v>2863</v>
      </c>
      <c r="G162" s="1" t="s">
        <v>19</v>
      </c>
      <c r="H162" s="1" t="s">
        <v>632</v>
      </c>
      <c r="I162" s="1" t="s">
        <v>633</v>
      </c>
      <c r="J162" s="1" t="s">
        <v>634</v>
      </c>
      <c r="K162" s="1" t="s">
        <v>635</v>
      </c>
      <c r="L162">
        <v>39.9</v>
      </c>
      <c r="M162" s="1" t="s">
        <v>24</v>
      </c>
      <c r="N162" s="2">
        <v>45341.382313391201</v>
      </c>
      <c r="O162" s="1" t="s">
        <v>636</v>
      </c>
      <c r="P162" s="1" t="s">
        <v>637</v>
      </c>
    </row>
    <row r="163" spans="1:16" x14ac:dyDescent="0.3">
      <c r="A163">
        <v>165910</v>
      </c>
      <c r="B163" s="1" t="s">
        <v>31</v>
      </c>
      <c r="C163" s="1" t="s">
        <v>32</v>
      </c>
      <c r="D163" s="1" t="s">
        <v>18</v>
      </c>
      <c r="E163" s="1" t="s">
        <v>17</v>
      </c>
      <c r="F163">
        <v>2760</v>
      </c>
      <c r="G163" s="1" t="s">
        <v>19</v>
      </c>
      <c r="H163" s="1" t="s">
        <v>638</v>
      </c>
      <c r="I163" s="1" t="s">
        <v>639</v>
      </c>
      <c r="J163" s="1" t="s">
        <v>640</v>
      </c>
      <c r="K163" s="1" t="s">
        <v>641</v>
      </c>
      <c r="L163">
        <v>69.900000000000006</v>
      </c>
      <c r="M163" s="1" t="s">
        <v>24</v>
      </c>
      <c r="N163" s="2">
        <v>45341.38232099537</v>
      </c>
      <c r="O163" s="1" t="s">
        <v>636</v>
      </c>
      <c r="P163" s="1" t="s">
        <v>637</v>
      </c>
    </row>
    <row r="164" spans="1:16" x14ac:dyDescent="0.3">
      <c r="A164">
        <v>136738</v>
      </c>
      <c r="B164" s="1" t="s">
        <v>49</v>
      </c>
      <c r="C164" s="1" t="s">
        <v>17</v>
      </c>
      <c r="D164" s="1" t="s">
        <v>18</v>
      </c>
      <c r="E164" s="1" t="s">
        <v>32</v>
      </c>
      <c r="F164">
        <v>542</v>
      </c>
      <c r="G164" s="1" t="s">
        <v>19</v>
      </c>
      <c r="H164" s="1" t="s">
        <v>642</v>
      </c>
      <c r="I164" s="1" t="s">
        <v>643</v>
      </c>
      <c r="J164" s="1" t="s">
        <v>644</v>
      </c>
      <c r="K164" s="1" t="s">
        <v>645</v>
      </c>
      <c r="L164">
        <v>7.99</v>
      </c>
      <c r="M164" s="1" t="s">
        <v>24</v>
      </c>
      <c r="N164" s="2">
        <v>45341.382327870371</v>
      </c>
      <c r="O164" s="1" t="s">
        <v>636</v>
      </c>
      <c r="P164" s="1" t="s">
        <v>637</v>
      </c>
    </row>
    <row r="165" spans="1:16" x14ac:dyDescent="0.3">
      <c r="A165">
        <v>144497</v>
      </c>
      <c r="B165" s="1" t="s">
        <v>31</v>
      </c>
      <c r="C165" s="1" t="s">
        <v>32</v>
      </c>
      <c r="D165" s="1" t="s">
        <v>18</v>
      </c>
      <c r="E165" s="1" t="s">
        <v>32</v>
      </c>
      <c r="F165">
        <v>1105</v>
      </c>
      <c r="G165" s="1" t="s">
        <v>19</v>
      </c>
      <c r="H165" s="1" t="s">
        <v>646</v>
      </c>
      <c r="I165" s="1" t="s">
        <v>647</v>
      </c>
      <c r="J165" s="1" t="s">
        <v>648</v>
      </c>
      <c r="K165" s="1" t="s">
        <v>649</v>
      </c>
      <c r="L165">
        <v>49.9</v>
      </c>
      <c r="M165" s="1" t="s">
        <v>24</v>
      </c>
      <c r="N165" s="2">
        <v>45341.382336689814</v>
      </c>
      <c r="O165" s="1" t="s">
        <v>636</v>
      </c>
      <c r="P165" s="1" t="s">
        <v>637</v>
      </c>
    </row>
    <row r="166" spans="1:16" x14ac:dyDescent="0.3">
      <c r="A166">
        <v>135036</v>
      </c>
      <c r="B166" s="1" t="s">
        <v>31</v>
      </c>
      <c r="C166" s="1" t="s">
        <v>32</v>
      </c>
      <c r="D166" s="1" t="s">
        <v>18</v>
      </c>
      <c r="E166" s="1" t="s">
        <v>17</v>
      </c>
      <c r="F166">
        <v>1435</v>
      </c>
      <c r="G166" s="1" t="s">
        <v>19</v>
      </c>
      <c r="H166" s="1" t="s">
        <v>650</v>
      </c>
      <c r="I166" s="1" t="s">
        <v>651</v>
      </c>
      <c r="J166" s="1" t="s">
        <v>652</v>
      </c>
      <c r="K166" s="1" t="s">
        <v>653</v>
      </c>
      <c r="L166">
        <v>49.9</v>
      </c>
      <c r="M166" s="1" t="s">
        <v>24</v>
      </c>
      <c r="N166" s="2">
        <v>45341.382343993057</v>
      </c>
      <c r="O166" s="1" t="s">
        <v>636</v>
      </c>
      <c r="P166" s="1" t="s">
        <v>637</v>
      </c>
    </row>
    <row r="167" spans="1:16" x14ac:dyDescent="0.3">
      <c r="A167">
        <v>166331</v>
      </c>
      <c r="B167" s="1" t="s">
        <v>16</v>
      </c>
      <c r="C167" s="1" t="s">
        <v>32</v>
      </c>
      <c r="D167" s="1" t="s">
        <v>18</v>
      </c>
      <c r="E167" s="1" t="s">
        <v>32</v>
      </c>
      <c r="F167">
        <v>2877</v>
      </c>
      <c r="G167" s="1" t="s">
        <v>19</v>
      </c>
      <c r="H167" s="1" t="s">
        <v>654</v>
      </c>
      <c r="I167" s="1" t="s">
        <v>655</v>
      </c>
      <c r="J167" s="1" t="s">
        <v>656</v>
      </c>
      <c r="K167" s="1" t="s">
        <v>657</v>
      </c>
      <c r="L167">
        <v>59.9</v>
      </c>
      <c r="M167" s="1" t="s">
        <v>24</v>
      </c>
      <c r="N167" s="2">
        <v>45341.382350324071</v>
      </c>
      <c r="O167" s="1" t="s">
        <v>636</v>
      </c>
      <c r="P167" s="1" t="s">
        <v>637</v>
      </c>
    </row>
    <row r="168" spans="1:16" x14ac:dyDescent="0.3">
      <c r="A168">
        <v>139789</v>
      </c>
      <c r="B168" s="1" t="s">
        <v>16</v>
      </c>
      <c r="C168" s="1" t="s">
        <v>17</v>
      </c>
      <c r="D168" s="1" t="s">
        <v>18</v>
      </c>
      <c r="E168" s="1" t="s">
        <v>32</v>
      </c>
      <c r="F168">
        <v>1094</v>
      </c>
      <c r="G168" s="1" t="s">
        <v>19</v>
      </c>
      <c r="H168" s="1" t="s">
        <v>658</v>
      </c>
      <c r="I168" s="1" t="s">
        <v>659</v>
      </c>
      <c r="J168" s="1" t="s">
        <v>660</v>
      </c>
      <c r="K168" s="1" t="s">
        <v>661</v>
      </c>
      <c r="L168">
        <v>69.900000000000006</v>
      </c>
      <c r="M168" s="1" t="s">
        <v>24</v>
      </c>
      <c r="N168" s="2">
        <v>45341.382356956019</v>
      </c>
      <c r="O168" s="1" t="s">
        <v>636</v>
      </c>
      <c r="P168" s="1" t="s">
        <v>637</v>
      </c>
    </row>
    <row r="169" spans="1:16" x14ac:dyDescent="0.3">
      <c r="A169">
        <v>118569</v>
      </c>
      <c r="B169" s="1" t="s">
        <v>16</v>
      </c>
      <c r="C169" s="1" t="s">
        <v>17</v>
      </c>
      <c r="D169" s="1" t="s">
        <v>18</v>
      </c>
      <c r="E169" s="1" t="s">
        <v>32</v>
      </c>
      <c r="F169">
        <v>994</v>
      </c>
      <c r="G169" s="1" t="s">
        <v>19</v>
      </c>
      <c r="H169" s="1" t="s">
        <v>662</v>
      </c>
      <c r="I169" s="1" t="s">
        <v>663</v>
      </c>
      <c r="J169" s="1" t="s">
        <v>664</v>
      </c>
      <c r="K169" s="1" t="s">
        <v>665</v>
      </c>
      <c r="L169">
        <v>49.9</v>
      </c>
      <c r="M169" s="1" t="s">
        <v>24</v>
      </c>
      <c r="N169" s="2">
        <v>45341.382362870369</v>
      </c>
      <c r="O169" s="1" t="s">
        <v>636</v>
      </c>
      <c r="P169" s="1" t="s">
        <v>637</v>
      </c>
    </row>
    <row r="170" spans="1:16" x14ac:dyDescent="0.3">
      <c r="A170">
        <v>155848</v>
      </c>
      <c r="B170" s="1" t="s">
        <v>31</v>
      </c>
      <c r="C170" s="1" t="s">
        <v>32</v>
      </c>
      <c r="D170" s="1" t="s">
        <v>18</v>
      </c>
      <c r="E170" s="1" t="s">
        <v>17</v>
      </c>
      <c r="F170">
        <v>1942</v>
      </c>
      <c r="G170" s="1" t="s">
        <v>19</v>
      </c>
      <c r="H170" s="1" t="s">
        <v>666</v>
      </c>
      <c r="I170" s="1" t="s">
        <v>667</v>
      </c>
      <c r="J170" s="1" t="s">
        <v>668</v>
      </c>
      <c r="K170" s="1" t="s">
        <v>669</v>
      </c>
      <c r="L170">
        <v>49.9</v>
      </c>
      <c r="M170" s="1" t="s">
        <v>24</v>
      </c>
      <c r="N170" s="2">
        <v>45341.382370821761</v>
      </c>
      <c r="O170" s="1" t="s">
        <v>636</v>
      </c>
      <c r="P170" s="1" t="s">
        <v>637</v>
      </c>
    </row>
    <row r="171" spans="1:16" x14ac:dyDescent="0.3">
      <c r="A171">
        <v>152563</v>
      </c>
      <c r="B171" s="1" t="s">
        <v>49</v>
      </c>
      <c r="C171" s="1" t="s">
        <v>17</v>
      </c>
      <c r="D171" s="1" t="s">
        <v>18</v>
      </c>
      <c r="E171" s="1" t="s">
        <v>32</v>
      </c>
      <c r="F171">
        <v>2572</v>
      </c>
      <c r="G171" s="1" t="s">
        <v>19</v>
      </c>
      <c r="H171" s="1" t="s">
        <v>670</v>
      </c>
      <c r="I171" s="1" t="s">
        <v>671</v>
      </c>
      <c r="J171" s="1" t="s">
        <v>672</v>
      </c>
      <c r="K171" s="1" t="s">
        <v>673</v>
      </c>
      <c r="L171">
        <v>169</v>
      </c>
      <c r="M171" s="1" t="s">
        <v>24</v>
      </c>
      <c r="N171" s="2">
        <v>45341.382378287039</v>
      </c>
      <c r="O171" s="1" t="s">
        <v>636</v>
      </c>
      <c r="P171" s="1" t="s">
        <v>637</v>
      </c>
    </row>
    <row r="172" spans="1:16" x14ac:dyDescent="0.3">
      <c r="A172">
        <v>115153</v>
      </c>
      <c r="B172" s="1" t="s">
        <v>16</v>
      </c>
      <c r="C172" s="1" t="s">
        <v>17</v>
      </c>
      <c r="D172" s="1" t="s">
        <v>18</v>
      </c>
      <c r="E172" s="1" t="s">
        <v>17</v>
      </c>
      <c r="F172">
        <v>1736</v>
      </c>
      <c r="G172" s="1" t="s">
        <v>19</v>
      </c>
      <c r="H172" s="1" t="s">
        <v>674</v>
      </c>
      <c r="I172" s="1" t="s">
        <v>675</v>
      </c>
      <c r="J172" s="1" t="s">
        <v>676</v>
      </c>
      <c r="K172" s="1" t="s">
        <v>677</v>
      </c>
      <c r="L172">
        <v>79.900000000000006</v>
      </c>
      <c r="M172" s="1" t="s">
        <v>24</v>
      </c>
      <c r="N172" s="2">
        <v>45341.382388449078</v>
      </c>
      <c r="O172" s="1" t="s">
        <v>636</v>
      </c>
      <c r="P172" s="1" t="s">
        <v>637</v>
      </c>
    </row>
    <row r="173" spans="1:16" x14ac:dyDescent="0.3">
      <c r="A173">
        <v>125938</v>
      </c>
      <c r="B173" s="1" t="s">
        <v>16</v>
      </c>
      <c r="C173" s="1" t="s">
        <v>32</v>
      </c>
      <c r="D173" s="1" t="s">
        <v>18</v>
      </c>
      <c r="E173" s="1" t="s">
        <v>32</v>
      </c>
      <c r="F173">
        <v>1204</v>
      </c>
      <c r="G173" s="1" t="s">
        <v>19</v>
      </c>
      <c r="H173" s="1" t="s">
        <v>678</v>
      </c>
      <c r="I173" s="1" t="s">
        <v>679</v>
      </c>
      <c r="J173" s="1" t="s">
        <v>680</v>
      </c>
      <c r="K173" s="1" t="s">
        <v>681</v>
      </c>
      <c r="L173">
        <v>49.9</v>
      </c>
      <c r="M173" s="1" t="s">
        <v>24</v>
      </c>
      <c r="N173" s="2">
        <v>45341.382394490742</v>
      </c>
      <c r="O173" s="1" t="s">
        <v>636</v>
      </c>
      <c r="P173" s="1" t="s">
        <v>637</v>
      </c>
    </row>
    <row r="174" spans="1:16" x14ac:dyDescent="0.3">
      <c r="A174">
        <v>122809</v>
      </c>
      <c r="B174" s="1" t="s">
        <v>31</v>
      </c>
      <c r="C174" s="1" t="s">
        <v>17</v>
      </c>
      <c r="D174" s="1" t="s">
        <v>18</v>
      </c>
      <c r="E174" s="1" t="s">
        <v>32</v>
      </c>
      <c r="F174">
        <v>1592</v>
      </c>
      <c r="G174" s="1" t="s">
        <v>19</v>
      </c>
      <c r="H174" s="1" t="s">
        <v>682</v>
      </c>
      <c r="I174" s="1" t="s">
        <v>683</v>
      </c>
      <c r="J174" s="1" t="s">
        <v>684</v>
      </c>
      <c r="K174" s="1" t="s">
        <v>685</v>
      </c>
      <c r="L174">
        <v>49.9</v>
      </c>
      <c r="M174" s="1" t="s">
        <v>24</v>
      </c>
      <c r="N174" s="2">
        <v>45341.382400636576</v>
      </c>
      <c r="O174" s="1" t="s">
        <v>636</v>
      </c>
      <c r="P174" s="1" t="s">
        <v>637</v>
      </c>
    </row>
    <row r="175" spans="1:16" x14ac:dyDescent="0.3">
      <c r="A175">
        <v>181502</v>
      </c>
      <c r="B175" s="1" t="s">
        <v>49</v>
      </c>
      <c r="C175" s="1" t="s">
        <v>32</v>
      </c>
      <c r="D175" s="1" t="s">
        <v>18</v>
      </c>
      <c r="E175" s="1" t="s">
        <v>17</v>
      </c>
      <c r="F175">
        <v>2591</v>
      </c>
      <c r="G175" s="1" t="s">
        <v>19</v>
      </c>
      <c r="H175" s="1" t="s">
        <v>686</v>
      </c>
      <c r="I175" s="1" t="s">
        <v>687</v>
      </c>
      <c r="J175" s="1" t="s">
        <v>688</v>
      </c>
      <c r="K175" s="1" t="s">
        <v>689</v>
      </c>
      <c r="L175">
        <v>39.9</v>
      </c>
      <c r="M175" s="1" t="s">
        <v>24</v>
      </c>
      <c r="N175" s="2">
        <v>45341.382406377314</v>
      </c>
      <c r="O175" s="1" t="s">
        <v>636</v>
      </c>
      <c r="P175" s="1" t="s">
        <v>637</v>
      </c>
    </row>
    <row r="176" spans="1:16" x14ac:dyDescent="0.3">
      <c r="A176">
        <v>182779</v>
      </c>
      <c r="B176" s="1" t="s">
        <v>31</v>
      </c>
      <c r="C176" s="1" t="s">
        <v>32</v>
      </c>
      <c r="D176" s="1" t="s">
        <v>18</v>
      </c>
      <c r="E176" s="1" t="s">
        <v>32</v>
      </c>
      <c r="F176">
        <v>2097</v>
      </c>
      <c r="G176" s="1" t="s">
        <v>19</v>
      </c>
      <c r="H176" s="1" t="s">
        <v>690</v>
      </c>
      <c r="I176" s="1" t="s">
        <v>691</v>
      </c>
      <c r="J176" s="1" t="s">
        <v>692</v>
      </c>
      <c r="K176" s="1" t="s">
        <v>693</v>
      </c>
      <c r="L176">
        <v>35.9</v>
      </c>
      <c r="M176" s="1" t="s">
        <v>24</v>
      </c>
      <c r="N176" s="2">
        <v>45341.38241528935</v>
      </c>
      <c r="O176" s="1" t="s">
        <v>636</v>
      </c>
      <c r="P176" s="1" t="s">
        <v>637</v>
      </c>
    </row>
    <row r="177" spans="1:16" x14ac:dyDescent="0.3">
      <c r="A177">
        <v>155674</v>
      </c>
      <c r="B177" s="1" t="s">
        <v>49</v>
      </c>
      <c r="C177" s="1" t="s">
        <v>17</v>
      </c>
      <c r="D177" s="1" t="s">
        <v>18</v>
      </c>
      <c r="E177" s="1" t="s">
        <v>17</v>
      </c>
      <c r="F177">
        <v>897</v>
      </c>
      <c r="G177" s="1" t="s">
        <v>19</v>
      </c>
      <c r="H177" s="1" t="s">
        <v>694</v>
      </c>
      <c r="I177" s="1" t="s">
        <v>695</v>
      </c>
      <c r="J177" s="1" t="s">
        <v>696</v>
      </c>
      <c r="K177" s="1" t="s">
        <v>697</v>
      </c>
      <c r="L177">
        <v>49.9</v>
      </c>
      <c r="M177" s="1" t="s">
        <v>24</v>
      </c>
      <c r="N177" s="2">
        <v>45341.382424988427</v>
      </c>
      <c r="O177" s="1" t="s">
        <v>636</v>
      </c>
      <c r="P177" s="1" t="s">
        <v>637</v>
      </c>
    </row>
    <row r="178" spans="1:16" x14ac:dyDescent="0.3">
      <c r="A178">
        <v>182866</v>
      </c>
      <c r="B178" s="1" t="s">
        <v>16</v>
      </c>
      <c r="C178" s="1" t="s">
        <v>17</v>
      </c>
      <c r="D178" s="1" t="s">
        <v>18</v>
      </c>
      <c r="E178" s="1" t="s">
        <v>32</v>
      </c>
      <c r="F178">
        <v>1552</v>
      </c>
      <c r="G178" s="1" t="s">
        <v>19</v>
      </c>
      <c r="H178" s="1" t="s">
        <v>698</v>
      </c>
      <c r="I178" s="1" t="s">
        <v>699</v>
      </c>
      <c r="J178" s="1" t="s">
        <v>700</v>
      </c>
      <c r="K178" s="1" t="s">
        <v>701</v>
      </c>
      <c r="L178">
        <v>39.9</v>
      </c>
      <c r="M178" s="1" t="s">
        <v>24</v>
      </c>
      <c r="N178" s="2">
        <v>45341.382430740741</v>
      </c>
      <c r="O178" s="1" t="s">
        <v>636</v>
      </c>
      <c r="P178" s="1" t="s">
        <v>637</v>
      </c>
    </row>
    <row r="179" spans="1:16" x14ac:dyDescent="0.3">
      <c r="A179">
        <v>148230</v>
      </c>
      <c r="B179" s="1" t="s">
        <v>49</v>
      </c>
      <c r="C179" s="1" t="s">
        <v>32</v>
      </c>
      <c r="D179" s="1" t="s">
        <v>18</v>
      </c>
      <c r="E179" s="1" t="s">
        <v>17</v>
      </c>
      <c r="F179">
        <v>2494</v>
      </c>
      <c r="G179" s="1" t="s">
        <v>19</v>
      </c>
      <c r="H179" s="1" t="s">
        <v>702</v>
      </c>
      <c r="I179" s="1" t="s">
        <v>703</v>
      </c>
      <c r="J179" s="1" t="s">
        <v>704</v>
      </c>
      <c r="K179" s="1" t="s">
        <v>705</v>
      </c>
      <c r="L179">
        <v>59.9</v>
      </c>
      <c r="M179" s="1" t="s">
        <v>24</v>
      </c>
      <c r="N179" s="2">
        <v>45341.382437418979</v>
      </c>
      <c r="O179" s="1" t="s">
        <v>636</v>
      </c>
      <c r="P179" s="1" t="s">
        <v>637</v>
      </c>
    </row>
    <row r="180" spans="1:16" x14ac:dyDescent="0.3">
      <c r="A180">
        <v>126979</v>
      </c>
      <c r="B180" s="1" t="s">
        <v>49</v>
      </c>
      <c r="C180" s="1" t="s">
        <v>17</v>
      </c>
      <c r="D180" s="1" t="s">
        <v>18</v>
      </c>
      <c r="E180" s="1" t="s">
        <v>17</v>
      </c>
      <c r="F180">
        <v>2141</v>
      </c>
      <c r="G180" s="1" t="s">
        <v>19</v>
      </c>
      <c r="H180" s="1" t="s">
        <v>706</v>
      </c>
      <c r="I180" s="1" t="s">
        <v>707</v>
      </c>
      <c r="J180" s="1" t="s">
        <v>708</v>
      </c>
      <c r="K180" s="1" t="s">
        <v>709</v>
      </c>
      <c r="L180">
        <v>49.9</v>
      </c>
      <c r="M180" s="1" t="s">
        <v>24</v>
      </c>
      <c r="N180" s="2">
        <v>45341.382446516203</v>
      </c>
      <c r="O180" s="1" t="s">
        <v>636</v>
      </c>
      <c r="P180" s="1" t="s">
        <v>637</v>
      </c>
    </row>
    <row r="181" spans="1:16" x14ac:dyDescent="0.3">
      <c r="A181">
        <v>135521</v>
      </c>
      <c r="B181" s="1" t="s">
        <v>31</v>
      </c>
      <c r="C181" s="1" t="s">
        <v>17</v>
      </c>
      <c r="D181" s="1" t="s">
        <v>18</v>
      </c>
      <c r="E181" s="1" t="s">
        <v>32</v>
      </c>
      <c r="F181">
        <v>2835</v>
      </c>
      <c r="G181" s="1" t="s">
        <v>19</v>
      </c>
      <c r="H181" s="1" t="s">
        <v>710</v>
      </c>
      <c r="I181" s="1" t="s">
        <v>711</v>
      </c>
      <c r="J181" s="1" t="s">
        <v>712</v>
      </c>
      <c r="K181" s="1" t="s">
        <v>713</v>
      </c>
      <c r="L181">
        <v>39.9</v>
      </c>
      <c r="M181" s="1" t="s">
        <v>24</v>
      </c>
      <c r="N181" s="2">
        <v>45341.382452349535</v>
      </c>
      <c r="O181" s="1" t="s">
        <v>636</v>
      </c>
      <c r="P181" s="1" t="s">
        <v>637</v>
      </c>
    </row>
    <row r="182" spans="1:16" x14ac:dyDescent="0.3">
      <c r="A182">
        <v>185809</v>
      </c>
      <c r="B182" s="1" t="s">
        <v>31</v>
      </c>
      <c r="C182" s="1" t="s">
        <v>17</v>
      </c>
      <c r="D182" s="1" t="s">
        <v>18</v>
      </c>
      <c r="E182" s="1" t="s">
        <v>17</v>
      </c>
      <c r="F182">
        <v>622</v>
      </c>
      <c r="G182" s="1" t="s">
        <v>19</v>
      </c>
      <c r="H182" s="1" t="s">
        <v>714</v>
      </c>
      <c r="I182" s="1" t="s">
        <v>715</v>
      </c>
      <c r="J182" s="1" t="s">
        <v>716</v>
      </c>
      <c r="K182" s="1" t="s">
        <v>717</v>
      </c>
      <c r="L182">
        <v>49.9</v>
      </c>
      <c r="M182" s="1" t="s">
        <v>24</v>
      </c>
      <c r="N182" s="2">
        <v>45341.382459062501</v>
      </c>
      <c r="O182" s="1" t="s">
        <v>636</v>
      </c>
      <c r="P182" s="1" t="s">
        <v>637</v>
      </c>
    </row>
    <row r="183" spans="1:16" x14ac:dyDescent="0.3">
      <c r="A183">
        <v>171520</v>
      </c>
      <c r="B183" s="1" t="s">
        <v>31</v>
      </c>
      <c r="C183" s="1" t="s">
        <v>32</v>
      </c>
      <c r="D183" s="1" t="s">
        <v>18</v>
      </c>
      <c r="E183" s="1" t="s">
        <v>32</v>
      </c>
      <c r="F183">
        <v>2901</v>
      </c>
      <c r="G183" s="1" t="s">
        <v>19</v>
      </c>
      <c r="H183" s="1" t="s">
        <v>718</v>
      </c>
      <c r="I183" s="1" t="s">
        <v>719</v>
      </c>
      <c r="J183" s="1" t="s">
        <v>720</v>
      </c>
      <c r="K183" s="1" t="s">
        <v>721</v>
      </c>
      <c r="L183">
        <v>47.9</v>
      </c>
      <c r="M183" s="1" t="s">
        <v>24</v>
      </c>
      <c r="N183" s="2">
        <v>45341.382465381947</v>
      </c>
      <c r="O183" s="1" t="s">
        <v>636</v>
      </c>
      <c r="P183" s="1" t="s">
        <v>637</v>
      </c>
    </row>
    <row r="184" spans="1:16" x14ac:dyDescent="0.3">
      <c r="A184">
        <v>122926</v>
      </c>
      <c r="B184" s="1" t="s">
        <v>31</v>
      </c>
      <c r="C184" s="1" t="s">
        <v>17</v>
      </c>
      <c r="D184" s="1" t="s">
        <v>18</v>
      </c>
      <c r="E184" s="1" t="s">
        <v>17</v>
      </c>
      <c r="F184">
        <v>867</v>
      </c>
      <c r="G184" s="1" t="s">
        <v>19</v>
      </c>
      <c r="H184" s="1" t="s">
        <v>722</v>
      </c>
      <c r="I184" s="1" t="s">
        <v>723</v>
      </c>
      <c r="J184" s="1" t="s">
        <v>724</v>
      </c>
      <c r="K184" s="1" t="s">
        <v>725</v>
      </c>
      <c r="L184">
        <v>45.9</v>
      </c>
      <c r="M184" s="1" t="s">
        <v>24</v>
      </c>
      <c r="N184" s="2">
        <v>45341.382472581019</v>
      </c>
      <c r="O184" s="1" t="s">
        <v>636</v>
      </c>
      <c r="P184" s="1" t="s">
        <v>637</v>
      </c>
    </row>
    <row r="185" spans="1:16" x14ac:dyDescent="0.3">
      <c r="A185">
        <v>150953</v>
      </c>
      <c r="B185" s="1" t="s">
        <v>49</v>
      </c>
      <c r="C185" s="1" t="s">
        <v>32</v>
      </c>
      <c r="D185" s="1" t="s">
        <v>18</v>
      </c>
      <c r="E185" s="1" t="s">
        <v>32</v>
      </c>
      <c r="F185">
        <v>2434</v>
      </c>
      <c r="G185" s="1" t="s">
        <v>19</v>
      </c>
      <c r="H185" s="1" t="s">
        <v>726</v>
      </c>
      <c r="I185" s="1" t="s">
        <v>727</v>
      </c>
      <c r="J185" s="1" t="s">
        <v>728</v>
      </c>
      <c r="K185" s="1" t="s">
        <v>729</v>
      </c>
      <c r="L185">
        <v>35.9</v>
      </c>
      <c r="M185" s="1" t="s">
        <v>24</v>
      </c>
      <c r="N185" s="2">
        <v>45341.382478252315</v>
      </c>
      <c r="O185" s="1" t="s">
        <v>636</v>
      </c>
      <c r="P185" s="1" t="s">
        <v>637</v>
      </c>
    </row>
    <row r="186" spans="1:16" x14ac:dyDescent="0.3">
      <c r="A186">
        <v>115873</v>
      </c>
      <c r="B186" s="1" t="s">
        <v>31</v>
      </c>
      <c r="C186" s="1" t="s">
        <v>32</v>
      </c>
      <c r="D186" s="1" t="s">
        <v>18</v>
      </c>
      <c r="E186" s="1" t="s">
        <v>32</v>
      </c>
      <c r="F186">
        <v>2606</v>
      </c>
      <c r="G186" s="1" t="s">
        <v>19</v>
      </c>
      <c r="H186" s="1" t="s">
        <v>730</v>
      </c>
      <c r="I186" s="1" t="s">
        <v>731</v>
      </c>
      <c r="J186" s="1" t="s">
        <v>732</v>
      </c>
      <c r="K186" s="1" t="s">
        <v>733</v>
      </c>
      <c r="L186">
        <v>59.9</v>
      </c>
      <c r="M186" s="1" t="s">
        <v>24</v>
      </c>
      <c r="N186" s="2">
        <v>45341.382484050926</v>
      </c>
      <c r="O186" s="1" t="s">
        <v>636</v>
      </c>
      <c r="P186" s="1" t="s">
        <v>637</v>
      </c>
    </row>
    <row r="187" spans="1:16" x14ac:dyDescent="0.3">
      <c r="A187">
        <v>115581</v>
      </c>
      <c r="B187" s="1" t="s">
        <v>16</v>
      </c>
      <c r="C187" s="1" t="s">
        <v>17</v>
      </c>
      <c r="D187" s="1" t="s">
        <v>18</v>
      </c>
      <c r="E187" s="1" t="s">
        <v>32</v>
      </c>
      <c r="F187">
        <v>2728</v>
      </c>
      <c r="G187" s="1" t="s">
        <v>19</v>
      </c>
      <c r="H187" s="1" t="s">
        <v>734</v>
      </c>
      <c r="I187" s="1" t="s">
        <v>735</v>
      </c>
      <c r="J187" s="1" t="s">
        <v>736</v>
      </c>
      <c r="K187" s="1" t="s">
        <v>737</v>
      </c>
      <c r="L187">
        <v>47.9</v>
      </c>
      <c r="M187" s="1" t="s">
        <v>24</v>
      </c>
      <c r="N187" s="2">
        <v>45341.382492372686</v>
      </c>
      <c r="O187" s="1" t="s">
        <v>636</v>
      </c>
      <c r="P187" s="1" t="s">
        <v>637</v>
      </c>
    </row>
    <row r="188" spans="1:16" x14ac:dyDescent="0.3">
      <c r="A188">
        <v>183634</v>
      </c>
      <c r="B188" s="1" t="s">
        <v>49</v>
      </c>
      <c r="C188" s="1" t="s">
        <v>32</v>
      </c>
      <c r="D188" s="1" t="s">
        <v>18</v>
      </c>
      <c r="E188" s="1" t="s">
        <v>32</v>
      </c>
      <c r="F188">
        <v>2778</v>
      </c>
      <c r="G188" s="1" t="s">
        <v>19</v>
      </c>
      <c r="H188" s="1" t="s">
        <v>738</v>
      </c>
      <c r="I188" s="1" t="s">
        <v>739</v>
      </c>
      <c r="J188" s="1" t="s">
        <v>740</v>
      </c>
      <c r="K188" s="1" t="s">
        <v>741</v>
      </c>
      <c r="L188">
        <v>27.9</v>
      </c>
      <c r="M188" s="1" t="s">
        <v>24</v>
      </c>
      <c r="N188" s="2">
        <v>45341.382501006941</v>
      </c>
      <c r="O188" s="1" t="s">
        <v>636</v>
      </c>
      <c r="P188" s="1" t="s">
        <v>637</v>
      </c>
    </row>
    <row r="189" spans="1:16" x14ac:dyDescent="0.3">
      <c r="A189">
        <v>122484</v>
      </c>
      <c r="B189" s="1" t="s">
        <v>16</v>
      </c>
      <c r="C189" s="1" t="s">
        <v>32</v>
      </c>
      <c r="D189" s="1" t="s">
        <v>18</v>
      </c>
      <c r="E189" s="1" t="s">
        <v>32</v>
      </c>
      <c r="F189">
        <v>558</v>
      </c>
      <c r="G189" s="1" t="s">
        <v>19</v>
      </c>
      <c r="H189" s="1" t="s">
        <v>742</v>
      </c>
      <c r="I189" s="1" t="s">
        <v>743</v>
      </c>
      <c r="J189" s="1" t="s">
        <v>744</v>
      </c>
      <c r="K189" s="1" t="s">
        <v>745</v>
      </c>
      <c r="L189">
        <v>47.9</v>
      </c>
      <c r="M189" s="1" t="s">
        <v>24</v>
      </c>
      <c r="N189" s="2">
        <v>45341.38250832176</v>
      </c>
      <c r="O189" s="1" t="s">
        <v>636</v>
      </c>
      <c r="P189" s="1" t="s">
        <v>637</v>
      </c>
    </row>
    <row r="190" spans="1:16" x14ac:dyDescent="0.3">
      <c r="A190">
        <v>183574</v>
      </c>
      <c r="B190" s="1" t="s">
        <v>16</v>
      </c>
      <c r="C190" s="1" t="s">
        <v>32</v>
      </c>
      <c r="D190" s="1" t="s">
        <v>18</v>
      </c>
      <c r="E190" s="1" t="s">
        <v>32</v>
      </c>
      <c r="F190">
        <v>1752</v>
      </c>
      <c r="G190" s="1" t="s">
        <v>19</v>
      </c>
      <c r="H190" s="1" t="s">
        <v>746</v>
      </c>
      <c r="I190" s="1" t="s">
        <v>747</v>
      </c>
      <c r="J190" s="1" t="s">
        <v>748</v>
      </c>
      <c r="K190" s="1" t="s">
        <v>749</v>
      </c>
      <c r="L190">
        <v>47.9</v>
      </c>
      <c r="M190" s="1" t="s">
        <v>24</v>
      </c>
      <c r="N190" s="2">
        <v>45341.382514872683</v>
      </c>
      <c r="O190" s="1" t="s">
        <v>636</v>
      </c>
      <c r="P190" s="1" t="s">
        <v>637</v>
      </c>
    </row>
    <row r="191" spans="1:16" x14ac:dyDescent="0.3">
      <c r="A191">
        <v>185307</v>
      </c>
      <c r="B191" s="1" t="s">
        <v>49</v>
      </c>
      <c r="C191" s="1" t="s">
        <v>17</v>
      </c>
      <c r="D191" s="1" t="s">
        <v>18</v>
      </c>
      <c r="E191" s="1" t="s">
        <v>32</v>
      </c>
      <c r="F191">
        <v>2743</v>
      </c>
      <c r="G191" s="1" t="s">
        <v>19</v>
      </c>
      <c r="H191" s="1" t="s">
        <v>750</v>
      </c>
      <c r="I191" s="1" t="s">
        <v>751</v>
      </c>
      <c r="J191" s="1" t="s">
        <v>752</v>
      </c>
      <c r="K191" s="1" t="s">
        <v>753</v>
      </c>
      <c r="L191">
        <v>7.99</v>
      </c>
      <c r="M191" s="1" t="s">
        <v>24</v>
      </c>
      <c r="N191" s="2">
        <v>45341.382522141204</v>
      </c>
      <c r="O191" s="1" t="s">
        <v>636</v>
      </c>
      <c r="P191" s="1" t="s">
        <v>637</v>
      </c>
    </row>
    <row r="192" spans="1:16" x14ac:dyDescent="0.3">
      <c r="A192">
        <v>118719</v>
      </c>
      <c r="B192" s="1" t="s">
        <v>31</v>
      </c>
      <c r="C192" s="1" t="s">
        <v>17</v>
      </c>
      <c r="D192" s="1" t="s">
        <v>18</v>
      </c>
      <c r="E192" s="1" t="s">
        <v>32</v>
      </c>
      <c r="F192">
        <v>1669</v>
      </c>
      <c r="G192" s="1" t="s">
        <v>19</v>
      </c>
      <c r="H192" s="1" t="s">
        <v>754</v>
      </c>
      <c r="I192" s="1" t="s">
        <v>755</v>
      </c>
      <c r="J192" s="1" t="s">
        <v>756</v>
      </c>
      <c r="K192" s="1" t="s">
        <v>757</v>
      </c>
      <c r="L192">
        <v>45.9</v>
      </c>
      <c r="M192" s="1" t="s">
        <v>24</v>
      </c>
      <c r="N192" s="2">
        <v>45341.38253023148</v>
      </c>
      <c r="O192" s="1" t="s">
        <v>636</v>
      </c>
      <c r="P192" s="1" t="s">
        <v>637</v>
      </c>
    </row>
    <row r="193" spans="1:16" x14ac:dyDescent="0.3">
      <c r="A193">
        <v>134788</v>
      </c>
      <c r="B193" s="1" t="s">
        <v>49</v>
      </c>
      <c r="C193" s="1" t="s">
        <v>17</v>
      </c>
      <c r="D193" s="1" t="s">
        <v>18</v>
      </c>
      <c r="E193" s="1" t="s">
        <v>17</v>
      </c>
      <c r="F193">
        <v>2179</v>
      </c>
      <c r="G193" s="1" t="s">
        <v>19</v>
      </c>
      <c r="H193" s="1" t="s">
        <v>758</v>
      </c>
      <c r="I193" s="1" t="s">
        <v>759</v>
      </c>
      <c r="J193" s="1" t="s">
        <v>760</v>
      </c>
      <c r="K193" s="1" t="s">
        <v>761</v>
      </c>
      <c r="L193">
        <v>45.9</v>
      </c>
      <c r="M193" s="1" t="s">
        <v>24</v>
      </c>
      <c r="N193" s="2">
        <v>45341.382536909725</v>
      </c>
      <c r="O193" s="1" t="s">
        <v>636</v>
      </c>
      <c r="P193" s="1" t="s">
        <v>637</v>
      </c>
    </row>
    <row r="194" spans="1:16" x14ac:dyDescent="0.3">
      <c r="A194">
        <v>140142</v>
      </c>
      <c r="B194" s="1" t="s">
        <v>49</v>
      </c>
      <c r="C194" s="1" t="s">
        <v>32</v>
      </c>
      <c r="D194" s="1" t="s">
        <v>18</v>
      </c>
      <c r="E194" s="1" t="s">
        <v>17</v>
      </c>
      <c r="F194">
        <v>606</v>
      </c>
      <c r="G194" s="1" t="s">
        <v>19</v>
      </c>
      <c r="H194" s="1" t="s">
        <v>762</v>
      </c>
      <c r="I194" s="1" t="s">
        <v>763</v>
      </c>
      <c r="J194" s="1" t="s">
        <v>764</v>
      </c>
      <c r="K194" s="1" t="s">
        <v>765</v>
      </c>
      <c r="L194">
        <v>49.9</v>
      </c>
      <c r="M194" s="1" t="s">
        <v>24</v>
      </c>
      <c r="N194" s="2">
        <v>45341.382543807871</v>
      </c>
      <c r="O194" s="1" t="s">
        <v>636</v>
      </c>
      <c r="P194" s="1" t="s">
        <v>637</v>
      </c>
    </row>
    <row r="195" spans="1:16" x14ac:dyDescent="0.3">
      <c r="A195">
        <v>153997</v>
      </c>
      <c r="B195" s="1" t="s">
        <v>31</v>
      </c>
      <c r="C195" s="1" t="s">
        <v>17</v>
      </c>
      <c r="D195" s="1" t="s">
        <v>18</v>
      </c>
      <c r="E195" s="1" t="s">
        <v>32</v>
      </c>
      <c r="F195">
        <v>1608</v>
      </c>
      <c r="G195" s="1" t="s">
        <v>19</v>
      </c>
      <c r="H195" s="1" t="s">
        <v>766</v>
      </c>
      <c r="I195" s="1" t="s">
        <v>767</v>
      </c>
      <c r="J195" s="1" t="s">
        <v>768</v>
      </c>
      <c r="K195" s="1" t="s">
        <v>769</v>
      </c>
      <c r="L195">
        <v>45.9</v>
      </c>
      <c r="M195" s="1" t="s">
        <v>24</v>
      </c>
      <c r="N195" s="2">
        <v>45341.382551909723</v>
      </c>
      <c r="O195" s="1" t="s">
        <v>636</v>
      </c>
      <c r="P195" s="1" t="s">
        <v>637</v>
      </c>
    </row>
    <row r="196" spans="1:16" x14ac:dyDescent="0.3">
      <c r="A196">
        <v>123230</v>
      </c>
      <c r="B196" s="1" t="s">
        <v>16</v>
      </c>
      <c r="C196" s="1" t="s">
        <v>17</v>
      </c>
      <c r="D196" s="1" t="s">
        <v>18</v>
      </c>
      <c r="E196" s="1" t="s">
        <v>32</v>
      </c>
      <c r="F196">
        <v>880</v>
      </c>
      <c r="G196" s="1" t="s">
        <v>19</v>
      </c>
      <c r="H196" s="1" t="s">
        <v>770</v>
      </c>
      <c r="I196" s="1" t="s">
        <v>771</v>
      </c>
      <c r="J196" s="1" t="s">
        <v>772</v>
      </c>
      <c r="K196" s="1" t="s">
        <v>773</v>
      </c>
      <c r="L196">
        <v>69.900000000000006</v>
      </c>
      <c r="M196" s="1" t="s">
        <v>24</v>
      </c>
      <c r="N196" s="2">
        <v>45341.369081793979</v>
      </c>
      <c r="O196" s="1" t="s">
        <v>25</v>
      </c>
      <c r="P196" s="1" t="s">
        <v>26</v>
      </c>
    </row>
    <row r="197" spans="1:16" x14ac:dyDescent="0.3">
      <c r="A197">
        <v>154676</v>
      </c>
      <c r="B197" s="1" t="s">
        <v>16</v>
      </c>
      <c r="C197" s="1" t="s">
        <v>17</v>
      </c>
      <c r="D197" s="1" t="s">
        <v>18</v>
      </c>
      <c r="E197" s="1" t="s">
        <v>17</v>
      </c>
      <c r="F197">
        <v>943</v>
      </c>
      <c r="G197" s="1" t="s">
        <v>19</v>
      </c>
      <c r="H197" s="1" t="s">
        <v>774</v>
      </c>
      <c r="I197" s="1" t="s">
        <v>775</v>
      </c>
      <c r="J197" s="1" t="s">
        <v>776</v>
      </c>
      <c r="K197" s="1" t="s">
        <v>777</v>
      </c>
      <c r="L197">
        <v>69.900000000000006</v>
      </c>
      <c r="M197" s="1" t="s">
        <v>24</v>
      </c>
      <c r="N197" s="2">
        <v>45341.369086689818</v>
      </c>
      <c r="O197" s="1" t="s">
        <v>25</v>
      </c>
      <c r="P197" s="1" t="s">
        <v>26</v>
      </c>
    </row>
    <row r="198" spans="1:16" x14ac:dyDescent="0.3">
      <c r="A198">
        <v>152985</v>
      </c>
      <c r="B198" s="1" t="s">
        <v>16</v>
      </c>
      <c r="C198" s="1" t="s">
        <v>32</v>
      </c>
      <c r="D198" s="1" t="s">
        <v>18</v>
      </c>
      <c r="E198" s="1" t="s">
        <v>32</v>
      </c>
      <c r="F198">
        <v>1049</v>
      </c>
      <c r="G198" s="1" t="s">
        <v>19</v>
      </c>
      <c r="H198" s="1" t="s">
        <v>778</v>
      </c>
      <c r="I198" s="1" t="s">
        <v>779</v>
      </c>
      <c r="J198" s="1" t="s">
        <v>438</v>
      </c>
      <c r="K198" s="1" t="s">
        <v>780</v>
      </c>
      <c r="L198">
        <v>89.9</v>
      </c>
      <c r="M198" s="1" t="s">
        <v>24</v>
      </c>
      <c r="N198" s="2">
        <v>45341.369092881941</v>
      </c>
      <c r="O198" s="1" t="s">
        <v>25</v>
      </c>
      <c r="P198" s="1" t="s">
        <v>26</v>
      </c>
    </row>
    <row r="199" spans="1:16" x14ac:dyDescent="0.3">
      <c r="A199">
        <v>175584</v>
      </c>
      <c r="B199" s="1" t="s">
        <v>49</v>
      </c>
      <c r="C199" s="1" t="s">
        <v>17</v>
      </c>
      <c r="D199" s="1" t="s">
        <v>18</v>
      </c>
      <c r="E199" s="1" t="s">
        <v>17</v>
      </c>
      <c r="F199">
        <v>2084</v>
      </c>
      <c r="G199" s="1" t="s">
        <v>19</v>
      </c>
      <c r="H199" s="1" t="s">
        <v>781</v>
      </c>
      <c r="I199" s="1" t="s">
        <v>782</v>
      </c>
      <c r="J199" s="1" t="s">
        <v>783</v>
      </c>
      <c r="K199" s="1" t="s">
        <v>784</v>
      </c>
      <c r="L199">
        <v>69.900000000000006</v>
      </c>
      <c r="M199" s="1" t="s">
        <v>24</v>
      </c>
      <c r="N199" s="2">
        <v>45341.371269884257</v>
      </c>
      <c r="O199" s="1" t="s">
        <v>785</v>
      </c>
      <c r="P199" s="1" t="s">
        <v>26</v>
      </c>
    </row>
    <row r="200" spans="1:16" x14ac:dyDescent="0.3">
      <c r="A200">
        <v>147491</v>
      </c>
      <c r="B200" s="1" t="s">
        <v>31</v>
      </c>
      <c r="C200" s="1" t="s">
        <v>17</v>
      </c>
      <c r="D200" s="1" t="s">
        <v>18</v>
      </c>
      <c r="E200" s="1" t="s">
        <v>17</v>
      </c>
      <c r="F200">
        <v>1563</v>
      </c>
      <c r="G200" s="1" t="s">
        <v>19</v>
      </c>
      <c r="H200" s="1" t="s">
        <v>786</v>
      </c>
      <c r="I200" s="1" t="s">
        <v>787</v>
      </c>
      <c r="J200" s="1" t="s">
        <v>788</v>
      </c>
      <c r="K200" s="1" t="s">
        <v>789</v>
      </c>
      <c r="L200">
        <v>59.9</v>
      </c>
      <c r="M200" s="1" t="s">
        <v>24</v>
      </c>
      <c r="N200" s="2">
        <v>45341.37127635417</v>
      </c>
      <c r="O200" s="1" t="s">
        <v>785</v>
      </c>
      <c r="P200" s="1" t="s">
        <v>26</v>
      </c>
    </row>
    <row r="201" spans="1:16" x14ac:dyDescent="0.3">
      <c r="A201">
        <v>198283</v>
      </c>
      <c r="B201" s="1" t="s">
        <v>31</v>
      </c>
      <c r="C201" s="1" t="s">
        <v>32</v>
      </c>
      <c r="D201" s="1" t="s">
        <v>18</v>
      </c>
      <c r="E201" s="1" t="s">
        <v>32</v>
      </c>
      <c r="F201">
        <v>1558</v>
      </c>
      <c r="G201" s="1" t="s">
        <v>19</v>
      </c>
      <c r="H201" s="1" t="s">
        <v>790</v>
      </c>
      <c r="I201" s="1" t="s">
        <v>791</v>
      </c>
      <c r="J201" s="1" t="s">
        <v>792</v>
      </c>
      <c r="K201" s="1" t="s">
        <v>793</v>
      </c>
      <c r="L201">
        <v>69.900000000000006</v>
      </c>
      <c r="M201" s="1" t="s">
        <v>24</v>
      </c>
      <c r="N201" s="2">
        <v>45341.371284918983</v>
      </c>
      <c r="O201" s="1" t="s">
        <v>785</v>
      </c>
      <c r="P201" s="1" t="s">
        <v>26</v>
      </c>
    </row>
    <row r="202" spans="1:16" x14ac:dyDescent="0.3">
      <c r="A202">
        <v>141547</v>
      </c>
      <c r="B202" s="1" t="s">
        <v>31</v>
      </c>
      <c r="C202" s="1" t="s">
        <v>17</v>
      </c>
      <c r="D202" s="1" t="s">
        <v>18</v>
      </c>
      <c r="E202" s="1" t="s">
        <v>17</v>
      </c>
      <c r="F202">
        <v>1426</v>
      </c>
      <c r="G202" s="1" t="s">
        <v>19</v>
      </c>
      <c r="H202" s="1" t="s">
        <v>794</v>
      </c>
      <c r="I202" s="1" t="s">
        <v>795</v>
      </c>
      <c r="J202" s="1" t="s">
        <v>792</v>
      </c>
      <c r="K202" s="1" t="s">
        <v>793</v>
      </c>
      <c r="L202">
        <v>69.900000000000006</v>
      </c>
      <c r="M202" s="1" t="s">
        <v>24</v>
      </c>
      <c r="N202" s="2">
        <v>45341.371290462965</v>
      </c>
      <c r="O202" s="1" t="s">
        <v>785</v>
      </c>
      <c r="P202" s="1" t="s">
        <v>26</v>
      </c>
    </row>
    <row r="203" spans="1:16" x14ac:dyDescent="0.3">
      <c r="A203">
        <v>156342</v>
      </c>
      <c r="B203" s="1" t="s">
        <v>49</v>
      </c>
      <c r="C203" s="1" t="s">
        <v>32</v>
      </c>
      <c r="D203" s="1" t="s">
        <v>18</v>
      </c>
      <c r="E203" s="1" t="s">
        <v>32</v>
      </c>
      <c r="F203">
        <v>1466</v>
      </c>
      <c r="G203" s="1" t="s">
        <v>19</v>
      </c>
      <c r="H203" s="1" t="s">
        <v>796</v>
      </c>
      <c r="I203" s="1" t="s">
        <v>797</v>
      </c>
      <c r="J203" s="1" t="s">
        <v>798</v>
      </c>
      <c r="K203" s="1" t="s">
        <v>799</v>
      </c>
      <c r="L203">
        <v>109</v>
      </c>
      <c r="M203" s="1" t="s">
        <v>24</v>
      </c>
      <c r="N203" s="2">
        <v>45341.371295717596</v>
      </c>
      <c r="O203" s="1" t="s">
        <v>785</v>
      </c>
      <c r="P203" s="1" t="s">
        <v>26</v>
      </c>
    </row>
    <row r="204" spans="1:16" x14ac:dyDescent="0.3">
      <c r="A204">
        <v>186083</v>
      </c>
      <c r="B204" s="1" t="s">
        <v>31</v>
      </c>
      <c r="C204" s="1" t="s">
        <v>17</v>
      </c>
      <c r="D204" s="1" t="s">
        <v>18</v>
      </c>
      <c r="E204" s="1" t="s">
        <v>32</v>
      </c>
      <c r="F204">
        <v>624</v>
      </c>
      <c r="G204" s="1" t="s">
        <v>19</v>
      </c>
      <c r="H204" s="1" t="s">
        <v>800</v>
      </c>
      <c r="I204" s="1" t="s">
        <v>801</v>
      </c>
      <c r="J204" s="1" t="s">
        <v>802</v>
      </c>
      <c r="K204" s="1" t="s">
        <v>803</v>
      </c>
      <c r="L204">
        <v>49.9</v>
      </c>
      <c r="M204" s="1" t="s">
        <v>24</v>
      </c>
      <c r="N204" s="2">
        <v>45341.371302638887</v>
      </c>
      <c r="O204" s="1" t="s">
        <v>785</v>
      </c>
      <c r="P204" s="1" t="s">
        <v>26</v>
      </c>
    </row>
    <row r="205" spans="1:16" x14ac:dyDescent="0.3">
      <c r="A205">
        <v>171776</v>
      </c>
      <c r="B205" s="1" t="s">
        <v>16</v>
      </c>
      <c r="C205" s="1" t="s">
        <v>32</v>
      </c>
      <c r="D205" s="1" t="s">
        <v>18</v>
      </c>
      <c r="E205" s="1" t="s">
        <v>17</v>
      </c>
      <c r="F205">
        <v>1685</v>
      </c>
      <c r="G205" s="1" t="s">
        <v>19</v>
      </c>
      <c r="H205" s="1" t="s">
        <v>804</v>
      </c>
      <c r="I205" s="1" t="s">
        <v>805</v>
      </c>
      <c r="J205" s="1" t="s">
        <v>806</v>
      </c>
      <c r="K205" s="1" t="s">
        <v>807</v>
      </c>
      <c r="L205">
        <v>12.99</v>
      </c>
      <c r="M205" s="1" t="s">
        <v>24</v>
      </c>
      <c r="N205" s="2">
        <v>45341.371309178241</v>
      </c>
      <c r="O205" s="1" t="s">
        <v>785</v>
      </c>
      <c r="P205" s="1" t="s">
        <v>26</v>
      </c>
    </row>
    <row r="206" spans="1:16" x14ac:dyDescent="0.3">
      <c r="A206">
        <v>134429</v>
      </c>
      <c r="B206" s="1" t="s">
        <v>16</v>
      </c>
      <c r="C206" s="1" t="s">
        <v>17</v>
      </c>
      <c r="D206" s="1" t="s">
        <v>18</v>
      </c>
      <c r="E206" s="1" t="s">
        <v>17</v>
      </c>
      <c r="F206">
        <v>2914</v>
      </c>
      <c r="G206" s="1" t="s">
        <v>19</v>
      </c>
      <c r="H206" s="1" t="s">
        <v>808</v>
      </c>
      <c r="I206" s="1" t="s">
        <v>809</v>
      </c>
      <c r="J206" s="1" t="s">
        <v>810</v>
      </c>
      <c r="K206" s="1" t="s">
        <v>811</v>
      </c>
      <c r="L206">
        <v>69.900000000000006</v>
      </c>
      <c r="M206" s="1" t="s">
        <v>24</v>
      </c>
      <c r="N206" s="2">
        <v>45341.371315405093</v>
      </c>
      <c r="O206" s="1" t="s">
        <v>785</v>
      </c>
      <c r="P206" s="1" t="s">
        <v>26</v>
      </c>
    </row>
    <row r="207" spans="1:16" x14ac:dyDescent="0.3">
      <c r="A207">
        <v>172816</v>
      </c>
      <c r="B207" s="1" t="s">
        <v>16</v>
      </c>
      <c r="C207" s="1" t="s">
        <v>17</v>
      </c>
      <c r="D207" s="1" t="s">
        <v>18</v>
      </c>
      <c r="E207" s="1" t="s">
        <v>32</v>
      </c>
      <c r="F207">
        <v>1524</v>
      </c>
      <c r="G207" s="1" t="s">
        <v>19</v>
      </c>
      <c r="H207" s="1" t="s">
        <v>812</v>
      </c>
      <c r="I207" s="1" t="s">
        <v>813</v>
      </c>
      <c r="J207" s="1" t="s">
        <v>814</v>
      </c>
      <c r="K207" s="1" t="s">
        <v>815</v>
      </c>
      <c r="L207">
        <v>69.900000000000006</v>
      </c>
      <c r="M207" s="1" t="s">
        <v>24</v>
      </c>
      <c r="N207" s="2">
        <v>45341.371345960652</v>
      </c>
      <c r="O207" s="1" t="s">
        <v>636</v>
      </c>
      <c r="P207" s="1" t="s">
        <v>26</v>
      </c>
    </row>
    <row r="208" spans="1:16" x14ac:dyDescent="0.3">
      <c r="A208">
        <v>136272</v>
      </c>
      <c r="B208" s="1" t="s">
        <v>31</v>
      </c>
      <c r="C208" s="1" t="s">
        <v>17</v>
      </c>
      <c r="D208" s="1" t="s">
        <v>18</v>
      </c>
      <c r="E208" s="1" t="s">
        <v>32</v>
      </c>
      <c r="F208">
        <v>2887</v>
      </c>
      <c r="G208" s="1" t="s">
        <v>19</v>
      </c>
      <c r="H208" s="1" t="s">
        <v>816</v>
      </c>
      <c r="I208" s="1" t="s">
        <v>817</v>
      </c>
      <c r="J208" s="1" t="s">
        <v>818</v>
      </c>
      <c r="K208" s="1" t="s">
        <v>819</v>
      </c>
      <c r="L208">
        <v>12.99</v>
      </c>
      <c r="M208" s="1" t="s">
        <v>24</v>
      </c>
      <c r="N208" s="2">
        <v>45341.371357870368</v>
      </c>
      <c r="O208" s="1" t="s">
        <v>636</v>
      </c>
      <c r="P208" s="1" t="s">
        <v>26</v>
      </c>
    </row>
    <row r="209" spans="1:16" x14ac:dyDescent="0.3">
      <c r="A209">
        <v>193227</v>
      </c>
      <c r="B209" s="1" t="s">
        <v>31</v>
      </c>
      <c r="C209" s="1" t="s">
        <v>32</v>
      </c>
      <c r="D209" s="1" t="s">
        <v>18</v>
      </c>
      <c r="E209" s="1" t="s">
        <v>32</v>
      </c>
      <c r="F209">
        <v>1778</v>
      </c>
      <c r="G209" s="1" t="s">
        <v>19</v>
      </c>
      <c r="H209" s="1" t="s">
        <v>820</v>
      </c>
      <c r="I209" s="1" t="s">
        <v>821</v>
      </c>
      <c r="J209" s="1" t="s">
        <v>822</v>
      </c>
      <c r="K209" s="1" t="s">
        <v>823</v>
      </c>
      <c r="L209">
        <v>69.900000000000006</v>
      </c>
      <c r="M209" s="1" t="s">
        <v>24</v>
      </c>
      <c r="N209" s="2">
        <v>45341.371364895836</v>
      </c>
      <c r="O209" s="1" t="s">
        <v>636</v>
      </c>
      <c r="P209" s="1" t="s">
        <v>26</v>
      </c>
    </row>
    <row r="210" spans="1:16" x14ac:dyDescent="0.3">
      <c r="A210">
        <v>165786</v>
      </c>
      <c r="B210" s="1" t="s">
        <v>31</v>
      </c>
      <c r="C210" s="1" t="s">
        <v>17</v>
      </c>
      <c r="D210" s="1" t="s">
        <v>18</v>
      </c>
      <c r="E210" s="1" t="s">
        <v>32</v>
      </c>
      <c r="F210">
        <v>1278</v>
      </c>
      <c r="G210" s="1" t="s">
        <v>19</v>
      </c>
      <c r="H210" s="1" t="s">
        <v>824</v>
      </c>
      <c r="I210" s="1" t="s">
        <v>825</v>
      </c>
      <c r="J210" s="1" t="s">
        <v>826</v>
      </c>
      <c r="K210" s="1" t="s">
        <v>827</v>
      </c>
      <c r="L210">
        <v>59.9</v>
      </c>
      <c r="M210" s="1" t="s">
        <v>24</v>
      </c>
      <c r="N210" s="2">
        <v>45341.371372013891</v>
      </c>
      <c r="O210" s="1" t="s">
        <v>636</v>
      </c>
      <c r="P210" s="1" t="s">
        <v>26</v>
      </c>
    </row>
    <row r="211" spans="1:16" x14ac:dyDescent="0.3">
      <c r="A211">
        <v>174708</v>
      </c>
      <c r="B211" s="1" t="s">
        <v>49</v>
      </c>
      <c r="C211" s="1" t="s">
        <v>17</v>
      </c>
      <c r="D211" s="1" t="s">
        <v>18</v>
      </c>
      <c r="E211" s="1" t="s">
        <v>32</v>
      </c>
      <c r="F211">
        <v>529</v>
      </c>
      <c r="G211" s="1" t="s">
        <v>19</v>
      </c>
      <c r="H211" s="1" t="s">
        <v>828</v>
      </c>
      <c r="I211" s="1" t="s">
        <v>829</v>
      </c>
      <c r="J211" s="1" t="s">
        <v>830</v>
      </c>
      <c r="K211" s="1" t="s">
        <v>831</v>
      </c>
      <c r="L211">
        <v>59.9</v>
      </c>
      <c r="M211" s="1" t="s">
        <v>24</v>
      </c>
      <c r="N211" s="2">
        <v>45341.371378067131</v>
      </c>
      <c r="O211" s="1" t="s">
        <v>636</v>
      </c>
      <c r="P211" s="1" t="s">
        <v>26</v>
      </c>
    </row>
    <row r="212" spans="1:16" x14ac:dyDescent="0.3">
      <c r="A212">
        <v>142257</v>
      </c>
      <c r="B212" s="1" t="s">
        <v>16</v>
      </c>
      <c r="C212" s="1" t="s">
        <v>32</v>
      </c>
      <c r="D212" s="1" t="s">
        <v>18</v>
      </c>
      <c r="E212" s="1" t="s">
        <v>32</v>
      </c>
      <c r="F212">
        <v>1180</v>
      </c>
      <c r="G212" s="1" t="s">
        <v>19</v>
      </c>
      <c r="H212" s="1" t="s">
        <v>832</v>
      </c>
      <c r="I212" s="1" t="s">
        <v>833</v>
      </c>
      <c r="J212" s="1" t="s">
        <v>834</v>
      </c>
      <c r="K212" s="1" t="s">
        <v>835</v>
      </c>
      <c r="L212">
        <v>19.899999999999999</v>
      </c>
      <c r="M212" s="1" t="s">
        <v>24</v>
      </c>
      <c r="N212" s="2">
        <v>45341.372524618055</v>
      </c>
      <c r="O212" s="1" t="s">
        <v>836</v>
      </c>
      <c r="P212" s="1" t="s">
        <v>26</v>
      </c>
    </row>
    <row r="213" spans="1:16" x14ac:dyDescent="0.3">
      <c r="A213">
        <v>126146</v>
      </c>
      <c r="B213" s="1" t="s">
        <v>16</v>
      </c>
      <c r="C213" s="1" t="s">
        <v>17</v>
      </c>
      <c r="D213" s="1" t="s">
        <v>18</v>
      </c>
      <c r="E213" s="1" t="s">
        <v>17</v>
      </c>
      <c r="F213">
        <v>2759</v>
      </c>
      <c r="G213" s="1" t="s">
        <v>19</v>
      </c>
      <c r="H213" s="1" t="s">
        <v>837</v>
      </c>
      <c r="I213" s="1" t="s">
        <v>838</v>
      </c>
      <c r="J213" s="1" t="s">
        <v>839</v>
      </c>
      <c r="K213" s="1" t="s">
        <v>840</v>
      </c>
      <c r="L213">
        <v>39.9</v>
      </c>
      <c r="M213" s="1" t="s">
        <v>24</v>
      </c>
      <c r="N213" s="2">
        <v>45341.372530706016</v>
      </c>
      <c r="O213" s="1" t="s">
        <v>836</v>
      </c>
      <c r="P213" s="1" t="s">
        <v>26</v>
      </c>
    </row>
    <row r="214" spans="1:16" x14ac:dyDescent="0.3">
      <c r="A214">
        <v>129134</v>
      </c>
      <c r="B214" s="1" t="s">
        <v>16</v>
      </c>
      <c r="C214" s="1" t="s">
        <v>17</v>
      </c>
      <c r="D214" s="1" t="s">
        <v>18</v>
      </c>
      <c r="E214" s="1" t="s">
        <v>32</v>
      </c>
      <c r="F214">
        <v>1831</v>
      </c>
      <c r="G214" s="1" t="s">
        <v>19</v>
      </c>
      <c r="H214" s="1" t="s">
        <v>841</v>
      </c>
      <c r="I214" s="1" t="s">
        <v>842</v>
      </c>
      <c r="J214" s="1" t="s">
        <v>843</v>
      </c>
      <c r="K214" s="1" t="s">
        <v>844</v>
      </c>
      <c r="L214">
        <v>29.9</v>
      </c>
      <c r="M214" s="1" t="s">
        <v>24</v>
      </c>
      <c r="N214" s="2">
        <v>45341.372540034725</v>
      </c>
      <c r="O214" s="1" t="s">
        <v>836</v>
      </c>
      <c r="P214" s="1" t="s">
        <v>26</v>
      </c>
    </row>
    <row r="215" spans="1:16" x14ac:dyDescent="0.3">
      <c r="A215">
        <v>129898</v>
      </c>
      <c r="B215" s="1" t="s">
        <v>31</v>
      </c>
      <c r="C215" s="1" t="s">
        <v>17</v>
      </c>
      <c r="D215" s="1" t="s">
        <v>18</v>
      </c>
      <c r="E215" s="1" t="s">
        <v>17</v>
      </c>
      <c r="F215">
        <v>1866</v>
      </c>
      <c r="G215" s="1" t="s">
        <v>19</v>
      </c>
      <c r="H215" s="1" t="s">
        <v>845</v>
      </c>
      <c r="I215" s="1" t="s">
        <v>846</v>
      </c>
      <c r="J215" s="1" t="s">
        <v>847</v>
      </c>
      <c r="K215" s="1" t="s">
        <v>848</v>
      </c>
      <c r="L215">
        <v>39.9</v>
      </c>
      <c r="M215" s="1" t="s">
        <v>24</v>
      </c>
      <c r="N215" s="2">
        <v>45341.372545763887</v>
      </c>
      <c r="O215" s="1" t="s">
        <v>836</v>
      </c>
      <c r="P215" s="1" t="s">
        <v>26</v>
      </c>
    </row>
    <row r="216" spans="1:16" x14ac:dyDescent="0.3">
      <c r="A216">
        <v>189692</v>
      </c>
      <c r="B216" s="1" t="s">
        <v>31</v>
      </c>
      <c r="C216" s="1" t="s">
        <v>32</v>
      </c>
      <c r="D216" s="1" t="s">
        <v>18</v>
      </c>
      <c r="E216" s="1" t="s">
        <v>17</v>
      </c>
      <c r="F216">
        <v>1553</v>
      </c>
      <c r="G216" s="1" t="s">
        <v>19</v>
      </c>
      <c r="H216" s="1" t="s">
        <v>849</v>
      </c>
      <c r="I216" s="1" t="s">
        <v>850</v>
      </c>
      <c r="J216" s="1" t="s">
        <v>851</v>
      </c>
      <c r="K216" s="1" t="s">
        <v>852</v>
      </c>
      <c r="L216">
        <v>39.9</v>
      </c>
      <c r="M216" s="1" t="s">
        <v>24</v>
      </c>
      <c r="N216" s="2">
        <v>45341.372551469911</v>
      </c>
      <c r="O216" s="1" t="s">
        <v>836</v>
      </c>
      <c r="P216" s="1" t="s">
        <v>26</v>
      </c>
    </row>
    <row r="217" spans="1:16" x14ac:dyDescent="0.3">
      <c r="A217">
        <v>154846</v>
      </c>
      <c r="B217" s="1" t="s">
        <v>31</v>
      </c>
      <c r="C217" s="1" t="s">
        <v>32</v>
      </c>
      <c r="D217" s="1" t="s">
        <v>18</v>
      </c>
      <c r="E217" s="1" t="s">
        <v>17</v>
      </c>
      <c r="F217">
        <v>917</v>
      </c>
      <c r="G217" s="1" t="s">
        <v>19</v>
      </c>
      <c r="H217" s="1" t="s">
        <v>853</v>
      </c>
      <c r="I217" s="1" t="s">
        <v>854</v>
      </c>
      <c r="J217" s="1" t="s">
        <v>855</v>
      </c>
      <c r="K217" s="1" t="s">
        <v>856</v>
      </c>
      <c r="L217">
        <v>39.9</v>
      </c>
      <c r="M217" s="1" t="s">
        <v>24</v>
      </c>
      <c r="N217" s="2">
        <v>45341.372557627314</v>
      </c>
      <c r="O217" s="1" t="s">
        <v>836</v>
      </c>
      <c r="P217" s="1" t="s">
        <v>26</v>
      </c>
    </row>
    <row r="218" spans="1:16" x14ac:dyDescent="0.3">
      <c r="A218">
        <v>122307</v>
      </c>
      <c r="B218" s="1" t="s">
        <v>31</v>
      </c>
      <c r="C218" s="1" t="s">
        <v>17</v>
      </c>
      <c r="D218" s="1" t="s">
        <v>18</v>
      </c>
      <c r="E218" s="1" t="s">
        <v>17</v>
      </c>
      <c r="F218">
        <v>702</v>
      </c>
      <c r="G218" s="1" t="s">
        <v>19</v>
      </c>
      <c r="H218" s="1" t="s">
        <v>857</v>
      </c>
      <c r="I218" s="1" t="s">
        <v>858</v>
      </c>
      <c r="J218" s="1" t="s">
        <v>859</v>
      </c>
      <c r="K218" s="1" t="s">
        <v>860</v>
      </c>
      <c r="L218">
        <v>49.9</v>
      </c>
      <c r="M218" s="1" t="s">
        <v>24</v>
      </c>
      <c r="N218" s="2">
        <v>45341.37256369213</v>
      </c>
      <c r="O218" s="1" t="s">
        <v>836</v>
      </c>
      <c r="P218" s="1" t="s">
        <v>26</v>
      </c>
    </row>
    <row r="219" spans="1:16" x14ac:dyDescent="0.3">
      <c r="A219">
        <v>182099</v>
      </c>
      <c r="B219" s="1" t="s">
        <v>16</v>
      </c>
      <c r="C219" s="1" t="s">
        <v>32</v>
      </c>
      <c r="D219" s="1" t="s">
        <v>18</v>
      </c>
      <c r="E219" s="1" t="s">
        <v>17</v>
      </c>
      <c r="F219">
        <v>1978</v>
      </c>
      <c r="G219" s="1" t="s">
        <v>19</v>
      </c>
      <c r="H219" s="1" t="s">
        <v>861</v>
      </c>
      <c r="I219" s="1" t="s">
        <v>862</v>
      </c>
      <c r="J219" s="1" t="s">
        <v>863</v>
      </c>
      <c r="K219" s="1" t="s">
        <v>864</v>
      </c>
      <c r="L219">
        <v>39.9</v>
      </c>
      <c r="M219" s="1" t="s">
        <v>24</v>
      </c>
      <c r="N219" s="2">
        <v>45341.372570046296</v>
      </c>
      <c r="O219" s="1" t="s">
        <v>836</v>
      </c>
      <c r="P219" s="1" t="s">
        <v>26</v>
      </c>
    </row>
    <row r="220" spans="1:16" x14ac:dyDescent="0.3">
      <c r="A220">
        <v>159816</v>
      </c>
      <c r="B220" s="1" t="s">
        <v>49</v>
      </c>
      <c r="C220" s="1" t="s">
        <v>17</v>
      </c>
      <c r="D220" s="1" t="s">
        <v>18</v>
      </c>
      <c r="E220" s="1" t="s">
        <v>32</v>
      </c>
      <c r="F220">
        <v>1961</v>
      </c>
      <c r="G220" s="1" t="s">
        <v>19</v>
      </c>
      <c r="H220" s="1" t="s">
        <v>865</v>
      </c>
      <c r="I220" s="1" t="s">
        <v>866</v>
      </c>
      <c r="J220" s="1" t="s">
        <v>867</v>
      </c>
      <c r="K220" s="1" t="s">
        <v>868</v>
      </c>
      <c r="L220">
        <v>27.9</v>
      </c>
      <c r="M220" s="1" t="s">
        <v>24</v>
      </c>
      <c r="N220" s="2">
        <v>45341.372576319445</v>
      </c>
      <c r="O220" s="1" t="s">
        <v>836</v>
      </c>
      <c r="P220" s="1" t="s">
        <v>26</v>
      </c>
    </row>
    <row r="221" spans="1:16" x14ac:dyDescent="0.3">
      <c r="A221">
        <v>165326</v>
      </c>
      <c r="B221" s="1" t="s">
        <v>16</v>
      </c>
      <c r="C221" s="1" t="s">
        <v>17</v>
      </c>
      <c r="D221" s="1" t="s">
        <v>18</v>
      </c>
      <c r="E221" s="1" t="s">
        <v>17</v>
      </c>
      <c r="F221">
        <v>1188</v>
      </c>
      <c r="G221" s="1" t="s">
        <v>19</v>
      </c>
      <c r="H221" s="1" t="s">
        <v>869</v>
      </c>
      <c r="I221" s="1" t="s">
        <v>870</v>
      </c>
      <c r="J221" s="1" t="s">
        <v>871</v>
      </c>
      <c r="K221" s="1" t="s">
        <v>872</v>
      </c>
      <c r="L221">
        <v>45.9</v>
      </c>
      <c r="M221" s="1" t="s">
        <v>24</v>
      </c>
      <c r="N221" s="2">
        <v>45341.3725825</v>
      </c>
      <c r="O221" s="1" t="s">
        <v>836</v>
      </c>
      <c r="P221" s="1" t="s">
        <v>26</v>
      </c>
    </row>
    <row r="222" spans="1:16" x14ac:dyDescent="0.3">
      <c r="A222">
        <v>185154</v>
      </c>
      <c r="B222" s="1" t="s">
        <v>16</v>
      </c>
      <c r="C222" s="1" t="s">
        <v>32</v>
      </c>
      <c r="D222" s="1" t="s">
        <v>18</v>
      </c>
      <c r="E222" s="1" t="s">
        <v>17</v>
      </c>
      <c r="F222">
        <v>996</v>
      </c>
      <c r="G222" s="1" t="s">
        <v>19</v>
      </c>
      <c r="H222" s="1" t="s">
        <v>873</v>
      </c>
      <c r="I222" s="1" t="s">
        <v>874</v>
      </c>
      <c r="J222" s="1" t="s">
        <v>875</v>
      </c>
      <c r="K222" s="1" t="s">
        <v>876</v>
      </c>
      <c r="L222">
        <v>39.9</v>
      </c>
      <c r="M222" s="1" t="s">
        <v>24</v>
      </c>
      <c r="N222" s="2">
        <v>45341.372589386578</v>
      </c>
      <c r="O222" s="1" t="s">
        <v>836</v>
      </c>
      <c r="P222" s="1" t="s">
        <v>26</v>
      </c>
    </row>
    <row r="223" spans="1:16" x14ac:dyDescent="0.3">
      <c r="A223">
        <v>141330</v>
      </c>
      <c r="B223" s="1" t="s">
        <v>16</v>
      </c>
      <c r="C223" s="1" t="s">
        <v>17</v>
      </c>
      <c r="D223" s="1" t="s">
        <v>18</v>
      </c>
      <c r="E223" s="1" t="s">
        <v>32</v>
      </c>
      <c r="F223">
        <v>1915</v>
      </c>
      <c r="G223" s="1" t="s">
        <v>19</v>
      </c>
      <c r="H223" s="1" t="s">
        <v>877</v>
      </c>
      <c r="I223" s="1" t="s">
        <v>878</v>
      </c>
      <c r="J223" s="1" t="s">
        <v>879</v>
      </c>
      <c r="K223" s="1" t="s">
        <v>880</v>
      </c>
      <c r="L223">
        <v>39.9</v>
      </c>
      <c r="M223" s="1" t="s">
        <v>24</v>
      </c>
      <c r="N223" s="2">
        <v>45341.372599189817</v>
      </c>
      <c r="O223" s="1" t="s">
        <v>836</v>
      </c>
      <c r="P223" s="1" t="s">
        <v>26</v>
      </c>
    </row>
    <row r="224" spans="1:16" x14ac:dyDescent="0.3">
      <c r="A224">
        <v>158958</v>
      </c>
      <c r="B224" s="1" t="s">
        <v>31</v>
      </c>
      <c r="C224" s="1" t="s">
        <v>17</v>
      </c>
      <c r="D224" s="1" t="s">
        <v>18</v>
      </c>
      <c r="E224" s="1" t="s">
        <v>17</v>
      </c>
      <c r="F224">
        <v>903</v>
      </c>
      <c r="G224" s="1" t="s">
        <v>19</v>
      </c>
      <c r="H224" s="1" t="s">
        <v>881</v>
      </c>
      <c r="I224" s="1" t="s">
        <v>882</v>
      </c>
      <c r="J224" s="1" t="s">
        <v>859</v>
      </c>
      <c r="K224" s="1" t="s">
        <v>883</v>
      </c>
      <c r="L224">
        <v>45.9</v>
      </c>
      <c r="M224" s="1" t="s">
        <v>24</v>
      </c>
      <c r="N224" s="2">
        <v>45341.37260609954</v>
      </c>
      <c r="O224" s="1" t="s">
        <v>836</v>
      </c>
      <c r="P224" s="1" t="s">
        <v>26</v>
      </c>
    </row>
    <row r="225" spans="1:16" x14ac:dyDescent="0.3">
      <c r="A225">
        <v>155010</v>
      </c>
      <c r="B225" s="1" t="s">
        <v>16</v>
      </c>
      <c r="C225" s="1" t="s">
        <v>32</v>
      </c>
      <c r="D225" s="1" t="s">
        <v>18</v>
      </c>
      <c r="E225" s="1" t="s">
        <v>32</v>
      </c>
      <c r="F225">
        <v>729</v>
      </c>
      <c r="G225" s="1" t="s">
        <v>19</v>
      </c>
      <c r="H225" s="1" t="s">
        <v>884</v>
      </c>
      <c r="I225" s="1" t="s">
        <v>885</v>
      </c>
      <c r="J225" s="1" t="s">
        <v>886</v>
      </c>
      <c r="K225" s="1" t="s">
        <v>887</v>
      </c>
      <c r="L225">
        <v>45.9</v>
      </c>
      <c r="M225" s="1" t="s">
        <v>24</v>
      </c>
      <c r="N225" s="2">
        <v>45341.37261244213</v>
      </c>
      <c r="O225" s="1" t="s">
        <v>836</v>
      </c>
      <c r="P225" s="1" t="s">
        <v>26</v>
      </c>
    </row>
    <row r="226" spans="1:16" x14ac:dyDescent="0.3">
      <c r="A226">
        <v>135857</v>
      </c>
      <c r="B226" s="1" t="s">
        <v>16</v>
      </c>
      <c r="C226" s="1" t="s">
        <v>17</v>
      </c>
      <c r="D226" s="1" t="s">
        <v>18</v>
      </c>
      <c r="E226" s="1" t="s">
        <v>32</v>
      </c>
      <c r="F226">
        <v>2045</v>
      </c>
      <c r="G226" s="1" t="s">
        <v>19</v>
      </c>
      <c r="H226" s="1" t="s">
        <v>888</v>
      </c>
      <c r="I226" s="1" t="s">
        <v>889</v>
      </c>
      <c r="J226" s="1" t="s">
        <v>890</v>
      </c>
      <c r="K226" s="1" t="s">
        <v>891</v>
      </c>
      <c r="L226">
        <v>45.9</v>
      </c>
      <c r="M226" s="1" t="s">
        <v>24</v>
      </c>
      <c r="N226" s="2">
        <v>45341.37261885417</v>
      </c>
      <c r="O226" s="1" t="s">
        <v>836</v>
      </c>
      <c r="P226" s="1" t="s">
        <v>26</v>
      </c>
    </row>
    <row r="227" spans="1:16" x14ac:dyDescent="0.3">
      <c r="A227">
        <v>147690</v>
      </c>
      <c r="B227" s="1" t="s">
        <v>16</v>
      </c>
      <c r="C227" s="1" t="s">
        <v>32</v>
      </c>
      <c r="D227" s="1" t="s">
        <v>18</v>
      </c>
      <c r="E227" s="1" t="s">
        <v>17</v>
      </c>
      <c r="F227">
        <v>881</v>
      </c>
      <c r="G227" s="1" t="s">
        <v>19</v>
      </c>
      <c r="H227" s="1" t="s">
        <v>892</v>
      </c>
      <c r="I227" s="1" t="s">
        <v>893</v>
      </c>
      <c r="J227" s="1" t="s">
        <v>894</v>
      </c>
      <c r="K227" s="1" t="s">
        <v>895</v>
      </c>
      <c r="L227">
        <v>39.9</v>
      </c>
      <c r="M227" s="1" t="s">
        <v>24</v>
      </c>
      <c r="N227" s="2">
        <v>45341.372624606483</v>
      </c>
      <c r="O227" s="1" t="s">
        <v>836</v>
      </c>
      <c r="P227" s="1" t="s">
        <v>26</v>
      </c>
    </row>
    <row r="228" spans="1:16" x14ac:dyDescent="0.3">
      <c r="A228">
        <v>130321</v>
      </c>
      <c r="B228" s="1" t="s">
        <v>31</v>
      </c>
      <c r="C228" s="1" t="s">
        <v>32</v>
      </c>
      <c r="D228" s="1" t="s">
        <v>18</v>
      </c>
      <c r="E228" s="1" t="s">
        <v>17</v>
      </c>
      <c r="F228">
        <v>2093</v>
      </c>
      <c r="G228" s="1" t="s">
        <v>19</v>
      </c>
      <c r="H228" s="1" t="s">
        <v>896</v>
      </c>
      <c r="I228" s="1" t="s">
        <v>897</v>
      </c>
      <c r="J228" s="1" t="s">
        <v>898</v>
      </c>
      <c r="K228" s="1" t="s">
        <v>899</v>
      </c>
      <c r="L228">
        <v>39.9</v>
      </c>
      <c r="M228" s="1" t="s">
        <v>24</v>
      </c>
      <c r="N228" s="2">
        <v>45341.372630266203</v>
      </c>
      <c r="O228" s="1" t="s">
        <v>836</v>
      </c>
      <c r="P228" s="1" t="s">
        <v>26</v>
      </c>
    </row>
    <row r="229" spans="1:16" x14ac:dyDescent="0.3">
      <c r="A229">
        <v>196752</v>
      </c>
      <c r="B229" s="1" t="s">
        <v>31</v>
      </c>
      <c r="C229" s="1" t="s">
        <v>17</v>
      </c>
      <c r="D229" s="1" t="s">
        <v>18</v>
      </c>
      <c r="E229" s="1" t="s">
        <v>17</v>
      </c>
      <c r="F229">
        <v>2227</v>
      </c>
      <c r="G229" s="1" t="s">
        <v>19</v>
      </c>
      <c r="H229" s="1" t="s">
        <v>900</v>
      </c>
      <c r="I229" s="1" t="s">
        <v>901</v>
      </c>
      <c r="J229" s="1" t="s">
        <v>871</v>
      </c>
      <c r="K229" s="1" t="s">
        <v>872</v>
      </c>
      <c r="L229">
        <v>45.9</v>
      </c>
      <c r="M229" s="1" t="s">
        <v>24</v>
      </c>
      <c r="N229" s="2">
        <v>45341.372638715278</v>
      </c>
      <c r="O229" s="1" t="s">
        <v>836</v>
      </c>
      <c r="P229" s="1" t="s">
        <v>26</v>
      </c>
    </row>
    <row r="230" spans="1:16" x14ac:dyDescent="0.3">
      <c r="A230">
        <v>181011</v>
      </c>
      <c r="B230" s="1" t="s">
        <v>16</v>
      </c>
      <c r="C230" s="1" t="s">
        <v>32</v>
      </c>
      <c r="D230" s="1" t="s">
        <v>18</v>
      </c>
      <c r="E230" s="1" t="s">
        <v>32</v>
      </c>
      <c r="F230">
        <v>994</v>
      </c>
      <c r="G230" s="1" t="s">
        <v>19</v>
      </c>
      <c r="H230" s="1" t="s">
        <v>674</v>
      </c>
      <c r="I230" s="1" t="s">
        <v>437</v>
      </c>
      <c r="J230" s="1" t="s">
        <v>68</v>
      </c>
      <c r="K230" s="1" t="s">
        <v>552</v>
      </c>
      <c r="L230">
        <v>89.9</v>
      </c>
      <c r="M230" s="1" t="s">
        <v>24</v>
      </c>
      <c r="N230" s="2">
        <v>45341.382313391201</v>
      </c>
      <c r="O230" s="1" t="s">
        <v>517</v>
      </c>
      <c r="P230" s="1" t="s">
        <v>26</v>
      </c>
    </row>
    <row r="231" spans="1:16" x14ac:dyDescent="0.3">
      <c r="A231">
        <v>139967</v>
      </c>
      <c r="B231" s="1" t="s">
        <v>31</v>
      </c>
      <c r="C231" s="1" t="s">
        <v>17</v>
      </c>
      <c r="D231" s="1" t="s">
        <v>18</v>
      </c>
      <c r="E231" s="1" t="s">
        <v>17</v>
      </c>
      <c r="F231">
        <v>2634</v>
      </c>
      <c r="G231" s="1" t="s">
        <v>19</v>
      </c>
      <c r="H231" s="1" t="s">
        <v>678</v>
      </c>
      <c r="I231" s="1" t="s">
        <v>441</v>
      </c>
      <c r="J231" s="1" t="s">
        <v>72</v>
      </c>
      <c r="K231" s="1" t="s">
        <v>725</v>
      </c>
      <c r="L231">
        <v>69.900000000000006</v>
      </c>
      <c r="M231" s="1" t="s">
        <v>24</v>
      </c>
      <c r="N231" s="2">
        <v>45341.38232099537</v>
      </c>
      <c r="O231" s="1" t="s">
        <v>836</v>
      </c>
      <c r="P231" s="1" t="s">
        <v>26</v>
      </c>
    </row>
    <row r="232" spans="1:16" x14ac:dyDescent="0.3">
      <c r="A232">
        <v>162699</v>
      </c>
      <c r="B232" s="1" t="s">
        <v>31</v>
      </c>
      <c r="C232" s="1" t="s">
        <v>17</v>
      </c>
      <c r="D232" s="1" t="s">
        <v>18</v>
      </c>
      <c r="E232" s="1" t="s">
        <v>32</v>
      </c>
      <c r="F232">
        <v>2732</v>
      </c>
      <c r="G232" s="1" t="s">
        <v>19</v>
      </c>
      <c r="H232" s="1" t="s">
        <v>682</v>
      </c>
      <c r="I232" s="1" t="s">
        <v>444</v>
      </c>
      <c r="J232" s="1" t="s">
        <v>76</v>
      </c>
      <c r="K232" s="1" t="s">
        <v>653</v>
      </c>
      <c r="L232">
        <v>89.9</v>
      </c>
      <c r="M232" s="1" t="s">
        <v>24</v>
      </c>
      <c r="N232" s="2">
        <v>45341.382327870371</v>
      </c>
      <c r="O232" s="1" t="s">
        <v>636</v>
      </c>
      <c r="P232" s="1" t="s">
        <v>26</v>
      </c>
    </row>
    <row r="233" spans="1:16" x14ac:dyDescent="0.3">
      <c r="A233">
        <v>119044</v>
      </c>
      <c r="B233" s="1" t="s">
        <v>16</v>
      </c>
      <c r="C233" s="1" t="s">
        <v>17</v>
      </c>
      <c r="D233" s="1" t="s">
        <v>18</v>
      </c>
      <c r="E233" s="1" t="s">
        <v>32</v>
      </c>
      <c r="F233">
        <v>1140</v>
      </c>
      <c r="G233" s="1" t="s">
        <v>19</v>
      </c>
      <c r="H233" s="1" t="s">
        <v>686</v>
      </c>
      <c r="I233" s="1" t="s">
        <v>448</v>
      </c>
      <c r="J233" s="1" t="s">
        <v>80</v>
      </c>
      <c r="K233" s="1" t="s">
        <v>467</v>
      </c>
      <c r="L233">
        <v>169</v>
      </c>
      <c r="M233" s="1" t="s">
        <v>24</v>
      </c>
      <c r="N233" s="2">
        <v>45341.382336689814</v>
      </c>
      <c r="O233" s="1" t="s">
        <v>636</v>
      </c>
      <c r="P233" s="1" t="s">
        <v>26</v>
      </c>
    </row>
    <row r="234" spans="1:16" x14ac:dyDescent="0.3">
      <c r="A234">
        <v>121348</v>
      </c>
      <c r="B234" s="1" t="s">
        <v>31</v>
      </c>
      <c r="C234" s="1" t="s">
        <v>17</v>
      </c>
      <c r="D234" s="1" t="s">
        <v>18</v>
      </c>
      <c r="E234" s="1" t="s">
        <v>32</v>
      </c>
      <c r="F234">
        <v>1008</v>
      </c>
      <c r="G234" s="1" t="s">
        <v>19</v>
      </c>
      <c r="H234" s="1" t="s">
        <v>690</v>
      </c>
      <c r="I234" s="1" t="s">
        <v>451</v>
      </c>
      <c r="J234" s="1" t="s">
        <v>84</v>
      </c>
      <c r="K234" s="1" t="s">
        <v>471</v>
      </c>
      <c r="L234">
        <v>169</v>
      </c>
      <c r="M234" s="1" t="s">
        <v>24</v>
      </c>
      <c r="N234" s="2">
        <v>45341.382343993057</v>
      </c>
      <c r="O234" s="1" t="s">
        <v>836</v>
      </c>
      <c r="P234" s="1" t="s">
        <v>26</v>
      </c>
    </row>
    <row r="235" spans="1:16" x14ac:dyDescent="0.3">
      <c r="A235">
        <v>163982</v>
      </c>
      <c r="B235" s="1" t="s">
        <v>49</v>
      </c>
      <c r="C235" s="1" t="s">
        <v>17</v>
      </c>
      <c r="D235" s="1" t="s">
        <v>18</v>
      </c>
      <c r="E235" s="1" t="s">
        <v>17</v>
      </c>
      <c r="F235">
        <v>2685</v>
      </c>
      <c r="G235" s="1" t="s">
        <v>19</v>
      </c>
      <c r="H235" s="1" t="s">
        <v>694</v>
      </c>
      <c r="I235" s="1" t="s">
        <v>455</v>
      </c>
      <c r="J235" s="1" t="s">
        <v>88</v>
      </c>
      <c r="K235" s="1" t="s">
        <v>474</v>
      </c>
      <c r="L235">
        <v>69.900000000000006</v>
      </c>
      <c r="M235" s="1" t="s">
        <v>24</v>
      </c>
      <c r="N235" s="2">
        <v>45341.382350324071</v>
      </c>
      <c r="O235" s="1" t="s">
        <v>836</v>
      </c>
      <c r="P235" s="1" t="s">
        <v>26</v>
      </c>
    </row>
    <row r="236" spans="1:16" x14ac:dyDescent="0.3">
      <c r="A236">
        <v>185774</v>
      </c>
      <c r="B236" s="1" t="s">
        <v>31</v>
      </c>
      <c r="C236" s="1" t="s">
        <v>32</v>
      </c>
      <c r="D236" s="1" t="s">
        <v>18</v>
      </c>
      <c r="E236" s="1" t="s">
        <v>32</v>
      </c>
      <c r="F236">
        <v>1145</v>
      </c>
      <c r="G236" s="1" t="s">
        <v>19</v>
      </c>
      <c r="H236" s="1" t="s">
        <v>698</v>
      </c>
      <c r="I236" s="1" t="s">
        <v>459</v>
      </c>
      <c r="J236" s="1" t="s">
        <v>92</v>
      </c>
      <c r="K236" s="1" t="s">
        <v>477</v>
      </c>
      <c r="L236">
        <v>19.989999999999998</v>
      </c>
      <c r="M236" s="1" t="s">
        <v>24</v>
      </c>
      <c r="N236" s="2">
        <v>45341.382356956019</v>
      </c>
      <c r="O236" s="1" t="s">
        <v>836</v>
      </c>
      <c r="P236" s="1" t="s">
        <v>26</v>
      </c>
    </row>
    <row r="237" spans="1:16" x14ac:dyDescent="0.3">
      <c r="A237">
        <v>144651</v>
      </c>
      <c r="B237" s="1" t="s">
        <v>16</v>
      </c>
      <c r="C237" s="1" t="s">
        <v>32</v>
      </c>
      <c r="D237" s="1" t="s">
        <v>18</v>
      </c>
      <c r="E237" s="1" t="s">
        <v>17</v>
      </c>
      <c r="F237">
        <v>1791</v>
      </c>
      <c r="G237" s="1" t="s">
        <v>19</v>
      </c>
      <c r="H237" s="1" t="s">
        <v>702</v>
      </c>
      <c r="I237" s="1" t="s">
        <v>462</v>
      </c>
      <c r="J237" s="1" t="s">
        <v>96</v>
      </c>
      <c r="K237" s="1" t="s">
        <v>481</v>
      </c>
      <c r="L237">
        <v>139</v>
      </c>
      <c r="M237" s="1" t="s">
        <v>24</v>
      </c>
      <c r="N237" s="2">
        <v>45341.382362870369</v>
      </c>
      <c r="O237" s="1" t="s">
        <v>836</v>
      </c>
      <c r="P237" s="1" t="s">
        <v>26</v>
      </c>
    </row>
    <row r="238" spans="1:16" x14ac:dyDescent="0.3">
      <c r="A238">
        <v>195103</v>
      </c>
      <c r="B238" s="1" t="s">
        <v>16</v>
      </c>
      <c r="C238" s="1" t="s">
        <v>32</v>
      </c>
      <c r="D238" s="1" t="s">
        <v>18</v>
      </c>
      <c r="E238" s="1" t="s">
        <v>17</v>
      </c>
      <c r="F238">
        <v>2849</v>
      </c>
      <c r="G238" s="1" t="s">
        <v>19</v>
      </c>
      <c r="H238" s="1" t="s">
        <v>706</v>
      </c>
      <c r="I238" s="1" t="s">
        <v>466</v>
      </c>
      <c r="J238" s="1" t="s">
        <v>100</v>
      </c>
      <c r="K238" s="1" t="s">
        <v>148</v>
      </c>
      <c r="L238">
        <v>109</v>
      </c>
      <c r="M238" s="1" t="s">
        <v>24</v>
      </c>
      <c r="N238" s="2">
        <v>45341.382370821761</v>
      </c>
      <c r="O238" s="1" t="s">
        <v>836</v>
      </c>
      <c r="P238" s="1" t="s">
        <v>26</v>
      </c>
    </row>
    <row r="239" spans="1:16" x14ac:dyDescent="0.3">
      <c r="A239">
        <v>123047</v>
      </c>
      <c r="B239" s="1" t="s">
        <v>16</v>
      </c>
      <c r="C239" s="1" t="s">
        <v>17</v>
      </c>
      <c r="D239" s="1" t="s">
        <v>18</v>
      </c>
      <c r="E239" s="1" t="s">
        <v>32</v>
      </c>
      <c r="F239">
        <v>2985</v>
      </c>
      <c r="G239" s="1" t="s">
        <v>19</v>
      </c>
      <c r="H239" s="1" t="s">
        <v>710</v>
      </c>
      <c r="I239" s="1" t="s">
        <v>469</v>
      </c>
      <c r="J239" s="1" t="s">
        <v>56</v>
      </c>
      <c r="K239" s="1" t="s">
        <v>324</v>
      </c>
      <c r="L239">
        <v>109</v>
      </c>
      <c r="M239" s="1" t="s">
        <v>24</v>
      </c>
      <c r="N239" s="2">
        <v>45341.382378287039</v>
      </c>
      <c r="O239" s="1" t="s">
        <v>836</v>
      </c>
      <c r="P239" s="1" t="s">
        <v>26</v>
      </c>
    </row>
    <row r="240" spans="1:16" x14ac:dyDescent="0.3">
      <c r="A240">
        <v>123077</v>
      </c>
      <c r="B240" s="1" t="s">
        <v>49</v>
      </c>
      <c r="C240" s="1" t="s">
        <v>17</v>
      </c>
      <c r="D240" s="1" t="s">
        <v>18</v>
      </c>
      <c r="E240" s="1" t="s">
        <v>17</v>
      </c>
      <c r="F240">
        <v>1603</v>
      </c>
      <c r="G240" s="1" t="s">
        <v>19</v>
      </c>
      <c r="H240" s="1" t="s">
        <v>714</v>
      </c>
      <c r="I240" s="1" t="s">
        <v>473</v>
      </c>
      <c r="J240" s="1" t="s">
        <v>107</v>
      </c>
      <c r="K240" s="1" t="s">
        <v>327</v>
      </c>
      <c r="L240">
        <v>109</v>
      </c>
      <c r="M240" s="1" t="s">
        <v>24</v>
      </c>
      <c r="N240" s="2">
        <v>45341.382388449078</v>
      </c>
      <c r="O240" s="1" t="s">
        <v>836</v>
      </c>
      <c r="P240" s="1" t="s">
        <v>26</v>
      </c>
    </row>
    <row r="241" spans="1:16" x14ac:dyDescent="0.3">
      <c r="A241">
        <v>171860</v>
      </c>
      <c r="B241" s="1" t="s">
        <v>16</v>
      </c>
      <c r="C241" s="1" t="s">
        <v>32</v>
      </c>
      <c r="D241" s="1" t="s">
        <v>18</v>
      </c>
      <c r="E241" s="1" t="s">
        <v>17</v>
      </c>
      <c r="F241">
        <v>707</v>
      </c>
      <c r="G241" s="1" t="s">
        <v>19</v>
      </c>
      <c r="H241" s="1" t="s">
        <v>718</v>
      </c>
      <c r="I241" s="1" t="s">
        <v>476</v>
      </c>
      <c r="J241" s="1" t="s">
        <v>111</v>
      </c>
      <c r="K241" s="1" t="s">
        <v>331</v>
      </c>
      <c r="L241">
        <v>109</v>
      </c>
      <c r="M241" s="1" t="s">
        <v>24</v>
      </c>
      <c r="N241" s="2">
        <v>45341.382394490742</v>
      </c>
      <c r="O241" s="1" t="s">
        <v>836</v>
      </c>
      <c r="P241" s="1" t="s">
        <v>26</v>
      </c>
    </row>
    <row r="242" spans="1:16" x14ac:dyDescent="0.3">
      <c r="A242">
        <v>149487</v>
      </c>
      <c r="B242" s="1" t="s">
        <v>16</v>
      </c>
      <c r="C242" s="1" t="s">
        <v>17</v>
      </c>
      <c r="D242" s="1" t="s">
        <v>18</v>
      </c>
      <c r="E242" s="1" t="s">
        <v>32</v>
      </c>
      <c r="F242">
        <v>1258</v>
      </c>
      <c r="G242" s="1" t="s">
        <v>19</v>
      </c>
      <c r="H242" s="1" t="s">
        <v>722</v>
      </c>
      <c r="I242" s="1" t="s">
        <v>479</v>
      </c>
      <c r="J242" s="1" t="s">
        <v>115</v>
      </c>
      <c r="K242" s="1" t="s">
        <v>335</v>
      </c>
      <c r="L242">
        <v>99.9</v>
      </c>
      <c r="M242" s="1" t="s">
        <v>24</v>
      </c>
      <c r="N242" s="2">
        <v>45341.382400636576</v>
      </c>
      <c r="O242" s="1" t="s">
        <v>836</v>
      </c>
      <c r="P242" s="1" t="s">
        <v>26</v>
      </c>
    </row>
    <row r="243" spans="1:16" x14ac:dyDescent="0.3">
      <c r="A243">
        <v>168516</v>
      </c>
      <c r="B243" s="1" t="s">
        <v>49</v>
      </c>
      <c r="C243" s="1" t="s">
        <v>32</v>
      </c>
      <c r="D243" s="1" t="s">
        <v>18</v>
      </c>
      <c r="E243" s="1" t="s">
        <v>17</v>
      </c>
      <c r="F243">
        <v>2168</v>
      </c>
      <c r="G243" s="1" t="s">
        <v>19</v>
      </c>
      <c r="H243" s="1" t="s">
        <v>726</v>
      </c>
      <c r="I243" s="1" t="s">
        <v>483</v>
      </c>
      <c r="J243" s="1" t="s">
        <v>119</v>
      </c>
      <c r="K243" s="1" t="s">
        <v>339</v>
      </c>
      <c r="L243">
        <v>89.9</v>
      </c>
      <c r="M243" s="1" t="s">
        <v>24</v>
      </c>
      <c r="N243" s="2">
        <v>45341.382406377314</v>
      </c>
      <c r="O243" s="1" t="s">
        <v>836</v>
      </c>
      <c r="P243" s="1" t="s">
        <v>26</v>
      </c>
    </row>
    <row r="244" spans="1:16" x14ac:dyDescent="0.3">
      <c r="A244">
        <v>177771</v>
      </c>
      <c r="B244" s="1" t="s">
        <v>31</v>
      </c>
      <c r="C244" s="1" t="s">
        <v>32</v>
      </c>
      <c r="D244" s="1" t="s">
        <v>18</v>
      </c>
      <c r="E244" s="1" t="s">
        <v>32</v>
      </c>
      <c r="F244">
        <v>1764</v>
      </c>
      <c r="G244" s="1" t="s">
        <v>19</v>
      </c>
      <c r="H244" s="1" t="s">
        <v>730</v>
      </c>
      <c r="I244" s="1" t="s">
        <v>487</v>
      </c>
      <c r="J244" s="1" t="s">
        <v>123</v>
      </c>
      <c r="K244" s="1" t="s">
        <v>343</v>
      </c>
      <c r="L244">
        <v>69.900000000000006</v>
      </c>
      <c r="M244" s="1" t="s">
        <v>24</v>
      </c>
      <c r="N244" s="2">
        <v>45341.38241528935</v>
      </c>
      <c r="O244" s="1" t="s">
        <v>836</v>
      </c>
      <c r="P244" s="1" t="s">
        <v>26</v>
      </c>
    </row>
    <row r="245" spans="1:16" x14ac:dyDescent="0.3">
      <c r="A245">
        <v>172015</v>
      </c>
      <c r="B245" s="1" t="s">
        <v>31</v>
      </c>
      <c r="C245" s="1" t="s">
        <v>32</v>
      </c>
      <c r="D245" s="1" t="s">
        <v>18</v>
      </c>
      <c r="E245" s="1" t="s">
        <v>32</v>
      </c>
      <c r="F245">
        <v>2622</v>
      </c>
      <c r="G245" s="1" t="s">
        <v>19</v>
      </c>
      <c r="H245" s="1" t="s">
        <v>734</v>
      </c>
      <c r="I245" s="1" t="s">
        <v>491</v>
      </c>
      <c r="J245" s="1" t="s">
        <v>127</v>
      </c>
      <c r="K245" s="1" t="s">
        <v>347</v>
      </c>
      <c r="L245">
        <v>139</v>
      </c>
      <c r="M245" s="1" t="s">
        <v>24</v>
      </c>
      <c r="N245" s="2">
        <v>45341.382424988427</v>
      </c>
      <c r="O245" s="1" t="s">
        <v>836</v>
      </c>
      <c r="P245" s="1" t="s">
        <v>26</v>
      </c>
    </row>
    <row r="246" spans="1:16" x14ac:dyDescent="0.3">
      <c r="A246">
        <v>118985</v>
      </c>
      <c r="B246" s="1" t="s">
        <v>16</v>
      </c>
      <c r="C246" s="1" t="s">
        <v>17</v>
      </c>
      <c r="D246" s="1" t="s">
        <v>18</v>
      </c>
      <c r="E246" s="1" t="s">
        <v>32</v>
      </c>
      <c r="F246">
        <v>694</v>
      </c>
      <c r="G246" s="1" t="s">
        <v>19</v>
      </c>
      <c r="H246" s="1" t="s">
        <v>738</v>
      </c>
      <c r="I246" s="1" t="s">
        <v>495</v>
      </c>
      <c r="J246" s="1" t="s">
        <v>131</v>
      </c>
      <c r="K246" s="1" t="s">
        <v>351</v>
      </c>
      <c r="L246">
        <v>139</v>
      </c>
      <c r="M246" s="1" t="s">
        <v>24</v>
      </c>
      <c r="N246" s="2">
        <v>45341.382430740741</v>
      </c>
      <c r="O246" s="1" t="s">
        <v>836</v>
      </c>
      <c r="P246" s="1" t="s">
        <v>26</v>
      </c>
    </row>
    <row r="247" spans="1:16" x14ac:dyDescent="0.3">
      <c r="A247">
        <v>112194</v>
      </c>
      <c r="B247" s="1" t="s">
        <v>16</v>
      </c>
      <c r="C247" s="1" t="s">
        <v>32</v>
      </c>
      <c r="D247" s="1" t="s">
        <v>18</v>
      </c>
      <c r="E247" s="1" t="s">
        <v>32</v>
      </c>
      <c r="F247">
        <v>2187</v>
      </c>
      <c r="G247" s="1" t="s">
        <v>19</v>
      </c>
      <c r="H247" s="1" t="s">
        <v>742</v>
      </c>
      <c r="I247" s="1" t="s">
        <v>499</v>
      </c>
      <c r="J247" s="1" t="s">
        <v>135</v>
      </c>
      <c r="K247" s="1" t="s">
        <v>132</v>
      </c>
      <c r="L247">
        <v>109</v>
      </c>
      <c r="M247" s="1" t="s">
        <v>24</v>
      </c>
      <c r="N247" s="2">
        <v>45341.382437418979</v>
      </c>
      <c r="O247" s="1" t="s">
        <v>25</v>
      </c>
      <c r="P247" s="1" t="s">
        <v>26</v>
      </c>
    </row>
    <row r="248" spans="1:16" x14ac:dyDescent="0.3">
      <c r="A248">
        <v>113435</v>
      </c>
      <c r="B248" s="1" t="s">
        <v>16</v>
      </c>
      <c r="C248" s="1" t="s">
        <v>17</v>
      </c>
      <c r="D248" s="1" t="s">
        <v>18</v>
      </c>
      <c r="E248" s="1" t="s">
        <v>32</v>
      </c>
      <c r="F248">
        <v>2973</v>
      </c>
      <c r="G248" s="1" t="s">
        <v>19</v>
      </c>
      <c r="H248" s="1" t="s">
        <v>746</v>
      </c>
      <c r="I248" s="1" t="s">
        <v>503</v>
      </c>
      <c r="J248" s="1" t="s">
        <v>139</v>
      </c>
      <c r="K248" s="1" t="s">
        <v>136</v>
      </c>
      <c r="L248">
        <v>129</v>
      </c>
      <c r="M248" s="1" t="s">
        <v>24</v>
      </c>
      <c r="N248" s="2">
        <v>45341.382446516203</v>
      </c>
      <c r="O248" s="1" t="s">
        <v>25</v>
      </c>
      <c r="P248" s="1" t="s">
        <v>26</v>
      </c>
    </row>
    <row r="249" spans="1:16" x14ac:dyDescent="0.3">
      <c r="A249">
        <v>159182</v>
      </c>
      <c r="B249" s="1" t="s">
        <v>49</v>
      </c>
      <c r="C249" s="1" t="s">
        <v>32</v>
      </c>
      <c r="D249" s="1" t="s">
        <v>18</v>
      </c>
      <c r="E249" s="1" t="s">
        <v>17</v>
      </c>
      <c r="F249">
        <v>1014</v>
      </c>
      <c r="G249" s="1" t="s">
        <v>19</v>
      </c>
      <c r="H249" s="1" t="s">
        <v>750</v>
      </c>
      <c r="I249" s="1" t="s">
        <v>507</v>
      </c>
      <c r="J249" s="1" t="s">
        <v>143</v>
      </c>
      <c r="K249" s="1" t="s">
        <v>140</v>
      </c>
      <c r="L249">
        <v>169</v>
      </c>
      <c r="M249" s="1" t="s">
        <v>24</v>
      </c>
      <c r="N249" s="2">
        <v>45341.382452349535</v>
      </c>
      <c r="O249" s="1" t="s">
        <v>25</v>
      </c>
      <c r="P249" s="1" t="s">
        <v>26</v>
      </c>
    </row>
    <row r="250" spans="1:16" x14ac:dyDescent="0.3">
      <c r="A250">
        <v>199233</v>
      </c>
      <c r="B250" s="1" t="s">
        <v>16</v>
      </c>
      <c r="C250" s="1" t="s">
        <v>32</v>
      </c>
      <c r="D250" s="1" t="s">
        <v>18</v>
      </c>
      <c r="E250" s="1" t="s">
        <v>17</v>
      </c>
      <c r="F250">
        <v>2222</v>
      </c>
      <c r="G250" s="1" t="s">
        <v>19</v>
      </c>
      <c r="H250" s="1" t="s">
        <v>754</v>
      </c>
      <c r="I250" s="1" t="s">
        <v>511</v>
      </c>
      <c r="J250" s="1" t="s">
        <v>147</v>
      </c>
      <c r="K250" s="1" t="s">
        <v>144</v>
      </c>
      <c r="L250">
        <v>159</v>
      </c>
      <c r="M250" s="1" t="s">
        <v>24</v>
      </c>
      <c r="N250" s="2">
        <v>45341.382459062501</v>
      </c>
      <c r="O250" s="1" t="s">
        <v>25</v>
      </c>
      <c r="P250" s="1" t="s">
        <v>26</v>
      </c>
    </row>
    <row r="251" spans="1:16" x14ac:dyDescent="0.3">
      <c r="A251">
        <v>137044</v>
      </c>
      <c r="B251" s="1" t="s">
        <v>16</v>
      </c>
      <c r="C251" s="1" t="s">
        <v>17</v>
      </c>
      <c r="D251" s="1" t="s">
        <v>18</v>
      </c>
      <c r="E251" s="1" t="s">
        <v>32</v>
      </c>
      <c r="F251">
        <v>2534</v>
      </c>
      <c r="G251" s="1" t="s">
        <v>19</v>
      </c>
      <c r="H251" s="1" t="s">
        <v>368</v>
      </c>
      <c r="I251" s="1" t="s">
        <v>514</v>
      </c>
      <c r="J251" s="1" t="s">
        <v>131</v>
      </c>
      <c r="K251" s="1" t="s">
        <v>148</v>
      </c>
      <c r="L251">
        <v>12.99</v>
      </c>
      <c r="M251" s="1" t="s">
        <v>24</v>
      </c>
      <c r="N251" s="2">
        <v>45341.382465381947</v>
      </c>
      <c r="O251" s="1" t="s">
        <v>25</v>
      </c>
      <c r="P251" s="1" t="s">
        <v>26</v>
      </c>
    </row>
    <row r="252" spans="1:16" x14ac:dyDescent="0.3">
      <c r="A252">
        <v>154736</v>
      </c>
      <c r="B252" s="1" t="s">
        <v>49</v>
      </c>
      <c r="C252" s="1" t="s">
        <v>32</v>
      </c>
      <c r="D252" s="1" t="s">
        <v>18</v>
      </c>
      <c r="E252" s="1" t="s">
        <v>32</v>
      </c>
      <c r="F252">
        <v>1466</v>
      </c>
      <c r="G252" s="1" t="s">
        <v>19</v>
      </c>
      <c r="H252" s="1" t="s">
        <v>372</v>
      </c>
      <c r="I252" s="1" t="s">
        <v>519</v>
      </c>
      <c r="J252" s="1" t="s">
        <v>154</v>
      </c>
      <c r="K252" s="1" t="s">
        <v>151</v>
      </c>
      <c r="L252">
        <v>19.899999999999999</v>
      </c>
      <c r="M252" s="1" t="s">
        <v>24</v>
      </c>
      <c r="N252" s="2">
        <v>45341.382472581019</v>
      </c>
      <c r="O252" s="1" t="s">
        <v>25</v>
      </c>
      <c r="P252" s="1" t="s">
        <v>26</v>
      </c>
    </row>
    <row r="253" spans="1:16" x14ac:dyDescent="0.3">
      <c r="A253">
        <v>141434</v>
      </c>
      <c r="B253" s="1" t="s">
        <v>49</v>
      </c>
      <c r="C253" s="1" t="s">
        <v>17</v>
      </c>
      <c r="D253" s="1" t="s">
        <v>18</v>
      </c>
      <c r="E253" s="1" t="s">
        <v>32</v>
      </c>
      <c r="F253">
        <v>2870</v>
      </c>
      <c r="G253" s="1" t="s">
        <v>19</v>
      </c>
      <c r="H253" s="1" t="s">
        <v>376</v>
      </c>
      <c r="I253" s="1" t="s">
        <v>523</v>
      </c>
      <c r="J253" s="1" t="s">
        <v>52</v>
      </c>
      <c r="K253" s="1" t="s">
        <v>155</v>
      </c>
      <c r="L253">
        <v>39.9</v>
      </c>
      <c r="M253" s="1" t="s">
        <v>24</v>
      </c>
      <c r="N253" s="2">
        <v>45341.382313391201</v>
      </c>
      <c r="O253" s="1" t="s">
        <v>25</v>
      </c>
      <c r="P253"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F6FD-22D2-440B-BC9C-EF8CF1E4EF9E}">
  <dimension ref="A1:A75"/>
  <sheetViews>
    <sheetView topLeftCell="A12" workbookViewId="0">
      <selection activeCell="A23" sqref="A23:G23"/>
    </sheetView>
  </sheetViews>
  <sheetFormatPr defaultRowHeight="14.4" x14ac:dyDescent="0.3"/>
  <sheetData>
    <row r="1" spans="1:1" ht="23.4" x14ac:dyDescent="0.3">
      <c r="A1" s="3" t="s">
        <v>902</v>
      </c>
    </row>
    <row r="2" spans="1:1" x14ac:dyDescent="0.3">
      <c r="A2" s="4"/>
    </row>
    <row r="3" spans="1:1" x14ac:dyDescent="0.3">
      <c r="A3" s="4"/>
    </row>
    <row r="4" spans="1:1" x14ac:dyDescent="0.3">
      <c r="A4" s="4" t="s">
        <v>903</v>
      </c>
    </row>
    <row r="5" spans="1:1" x14ac:dyDescent="0.3">
      <c r="A5" s="4" t="s">
        <v>943</v>
      </c>
    </row>
    <row r="6" spans="1:1" x14ac:dyDescent="0.3">
      <c r="A6" s="4" t="s">
        <v>904</v>
      </c>
    </row>
    <row r="7" spans="1:1" x14ac:dyDescent="0.3">
      <c r="A7" s="4" t="s">
        <v>905</v>
      </c>
    </row>
    <row r="8" spans="1:1" x14ac:dyDescent="0.3">
      <c r="A8" s="4" t="s">
        <v>906</v>
      </c>
    </row>
    <row r="12" spans="1:1" ht="23.4" x14ac:dyDescent="0.3">
      <c r="A12" s="3" t="s">
        <v>907</v>
      </c>
    </row>
    <row r="13" spans="1:1" x14ac:dyDescent="0.3">
      <c r="A13" s="4"/>
    </row>
    <row r="14" spans="1:1" x14ac:dyDescent="0.3">
      <c r="A14" s="4" t="s">
        <v>908</v>
      </c>
    </row>
    <row r="15" spans="1:1" x14ac:dyDescent="0.3">
      <c r="A15" s="4" t="s">
        <v>909</v>
      </c>
    </row>
    <row r="16" spans="1:1" x14ac:dyDescent="0.3">
      <c r="A16" s="4" t="s">
        <v>910</v>
      </c>
    </row>
    <row r="17" spans="1:1" x14ac:dyDescent="0.3">
      <c r="A17" s="4" t="s">
        <v>911</v>
      </c>
    </row>
    <row r="21" spans="1:1" ht="23.4" x14ac:dyDescent="0.3">
      <c r="A21" s="3" t="s">
        <v>912</v>
      </c>
    </row>
    <row r="22" spans="1:1" x14ac:dyDescent="0.3">
      <c r="A22" s="4"/>
    </row>
    <row r="23" spans="1:1" x14ac:dyDescent="0.3">
      <c r="A23" s="4" t="s">
        <v>913</v>
      </c>
    </row>
    <row r="24" spans="1:1" x14ac:dyDescent="0.3">
      <c r="A24" s="4" t="s">
        <v>914</v>
      </c>
    </row>
    <row r="25" spans="1:1" x14ac:dyDescent="0.3">
      <c r="A25" s="4" t="s">
        <v>915</v>
      </c>
    </row>
    <row r="26" spans="1:1" x14ac:dyDescent="0.3">
      <c r="A26" s="4" t="s">
        <v>916</v>
      </c>
    </row>
    <row r="30" spans="1:1" ht="23.4" x14ac:dyDescent="0.3">
      <c r="A30" s="3" t="s">
        <v>917</v>
      </c>
    </row>
    <row r="31" spans="1:1" x14ac:dyDescent="0.3">
      <c r="A31" s="4"/>
    </row>
    <row r="32" spans="1:1" x14ac:dyDescent="0.3">
      <c r="A32" s="4" t="s">
        <v>918</v>
      </c>
    </row>
    <row r="33" spans="1:1" x14ac:dyDescent="0.3">
      <c r="A33" s="4" t="s">
        <v>919</v>
      </c>
    </row>
    <row r="34" spans="1:1" x14ac:dyDescent="0.3">
      <c r="A34" s="4" t="s">
        <v>920</v>
      </c>
    </row>
    <row r="35" spans="1:1" x14ac:dyDescent="0.3">
      <c r="A35" s="4" t="s">
        <v>921</v>
      </c>
    </row>
    <row r="39" spans="1:1" ht="23.4" x14ac:dyDescent="0.3">
      <c r="A39" s="3" t="s">
        <v>922</v>
      </c>
    </row>
    <row r="40" spans="1:1" x14ac:dyDescent="0.3">
      <c r="A40" s="4"/>
    </row>
    <row r="41" spans="1:1" x14ac:dyDescent="0.3">
      <c r="A41" s="4" t="s">
        <v>923</v>
      </c>
    </row>
    <row r="42" spans="1:1" x14ac:dyDescent="0.3">
      <c r="A42" s="4" t="s">
        <v>924</v>
      </c>
    </row>
    <row r="43" spans="1:1" x14ac:dyDescent="0.3">
      <c r="A43" s="4" t="s">
        <v>925</v>
      </c>
    </row>
    <row r="44" spans="1:1" x14ac:dyDescent="0.3">
      <c r="A44" s="4" t="s">
        <v>926</v>
      </c>
    </row>
    <row r="48" spans="1:1" ht="23.4" x14ac:dyDescent="0.3">
      <c r="A48" s="3" t="s">
        <v>927</v>
      </c>
    </row>
    <row r="49" spans="1:1" x14ac:dyDescent="0.3">
      <c r="A49" s="4"/>
    </row>
    <row r="50" spans="1:1" x14ac:dyDescent="0.3">
      <c r="A50" s="4" t="s">
        <v>928</v>
      </c>
    </row>
    <row r="51" spans="1:1" x14ac:dyDescent="0.3">
      <c r="A51" s="4" t="s">
        <v>929</v>
      </c>
    </row>
    <row r="52" spans="1:1" x14ac:dyDescent="0.3">
      <c r="A52" s="4" t="s">
        <v>930</v>
      </c>
    </row>
    <row r="53" spans="1:1" x14ac:dyDescent="0.3">
      <c r="A53" s="4" t="s">
        <v>931</v>
      </c>
    </row>
    <row r="57" spans="1:1" ht="23.4" x14ac:dyDescent="0.3">
      <c r="A57" s="3" t="s">
        <v>932</v>
      </c>
    </row>
    <row r="58" spans="1:1" x14ac:dyDescent="0.3">
      <c r="A58" s="4"/>
    </row>
    <row r="59" spans="1:1" x14ac:dyDescent="0.3">
      <c r="A59" s="4" t="s">
        <v>933</v>
      </c>
    </row>
    <row r="60" spans="1:1" x14ac:dyDescent="0.3">
      <c r="A60" s="4" t="s">
        <v>934</v>
      </c>
    </row>
    <row r="61" spans="1:1" x14ac:dyDescent="0.3">
      <c r="A61" s="4" t="s">
        <v>935</v>
      </c>
    </row>
    <row r="62" spans="1:1" x14ac:dyDescent="0.3">
      <c r="A62" s="4" t="s">
        <v>936</v>
      </c>
    </row>
    <row r="66" spans="1:1" ht="23.4" x14ac:dyDescent="0.3">
      <c r="A66" s="3" t="s">
        <v>937</v>
      </c>
    </row>
    <row r="67" spans="1:1" x14ac:dyDescent="0.3">
      <c r="A67" s="4"/>
    </row>
    <row r="68" spans="1:1" x14ac:dyDescent="0.3">
      <c r="A68" s="4" t="s">
        <v>938</v>
      </c>
    </row>
    <row r="69" spans="1:1" x14ac:dyDescent="0.3">
      <c r="A69" s="4" t="s">
        <v>939</v>
      </c>
    </row>
    <row r="70" spans="1:1" x14ac:dyDescent="0.3">
      <c r="A70" s="4" t="s">
        <v>940</v>
      </c>
    </row>
    <row r="71" spans="1:1" x14ac:dyDescent="0.3">
      <c r="A71" s="4" t="s">
        <v>941</v>
      </c>
    </row>
    <row r="75" spans="1:1" ht="23.4" x14ac:dyDescent="0.3">
      <c r="A75" s="3" t="s">
        <v>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A5C9-F86F-4F6A-A594-CA27253D00C2}">
  <dimension ref="B3:AA255"/>
  <sheetViews>
    <sheetView tabSelected="1" topLeftCell="K20" workbookViewId="0">
      <selection activeCell="Y25" sqref="Y25"/>
    </sheetView>
  </sheetViews>
  <sheetFormatPr defaultRowHeight="14.4" x14ac:dyDescent="0.3"/>
  <cols>
    <col min="2" max="2" width="12" customWidth="1"/>
    <col min="3" max="3" width="18" customWidth="1"/>
    <col min="4" max="4" width="17" customWidth="1"/>
    <col min="5" max="5" width="17.5546875" customWidth="1"/>
    <col min="6" max="6" width="10.33203125" customWidth="1"/>
    <col min="7" max="7" width="14.109375" customWidth="1"/>
    <col min="11" max="11" width="23.21875" customWidth="1"/>
    <col min="12" max="12" width="22.21875" customWidth="1"/>
    <col min="14" max="14" width="10.21875" customWidth="1"/>
    <col min="15" max="15" width="12.109375" customWidth="1"/>
    <col min="18" max="18" width="14.6640625" customWidth="1"/>
    <col min="25" max="25" width="30.33203125" customWidth="1"/>
    <col min="26" max="26" width="14.109375" customWidth="1"/>
    <col min="27" max="27" width="12.109375" customWidth="1"/>
  </cols>
  <sheetData>
    <row r="3" spans="2:27" x14ac:dyDescent="0.3">
      <c r="B3" t="s">
        <v>0</v>
      </c>
      <c r="C3" t="s">
        <v>1</v>
      </c>
      <c r="D3" t="s">
        <v>2</v>
      </c>
      <c r="E3" t="s">
        <v>3</v>
      </c>
      <c r="F3" t="s">
        <v>4</v>
      </c>
      <c r="G3" t="s">
        <v>5</v>
      </c>
      <c r="H3" t="s">
        <v>6</v>
      </c>
      <c r="I3" t="s">
        <v>7</v>
      </c>
      <c r="J3" t="s">
        <v>8</v>
      </c>
      <c r="K3" t="s">
        <v>9</v>
      </c>
      <c r="L3" t="s">
        <v>10</v>
      </c>
      <c r="M3" t="s">
        <v>11</v>
      </c>
      <c r="N3" t="s">
        <v>12</v>
      </c>
      <c r="O3" t="s">
        <v>13</v>
      </c>
      <c r="P3" t="s">
        <v>14</v>
      </c>
      <c r="Q3" t="s">
        <v>15</v>
      </c>
      <c r="R3" t="s">
        <v>945</v>
      </c>
    </row>
    <row r="4" spans="2:27" x14ac:dyDescent="0.3">
      <c r="B4">
        <v>185102</v>
      </c>
      <c r="C4" t="s">
        <v>16</v>
      </c>
      <c r="D4" t="s">
        <v>17</v>
      </c>
      <c r="E4" t="s">
        <v>18</v>
      </c>
      <c r="F4" t="s">
        <v>17</v>
      </c>
      <c r="G4">
        <v>2823</v>
      </c>
      <c r="H4" t="s">
        <v>19</v>
      </c>
      <c r="I4" t="s">
        <v>20</v>
      </c>
      <c r="J4" t="s">
        <v>21</v>
      </c>
      <c r="K4" t="s">
        <v>22</v>
      </c>
      <c r="L4" t="s">
        <v>23</v>
      </c>
      <c r="M4">
        <v>19.989999999999998</v>
      </c>
      <c r="N4" t="s">
        <v>24</v>
      </c>
      <c r="O4">
        <v>45341.368120995372</v>
      </c>
      <c r="P4" t="s">
        <v>25</v>
      </c>
      <c r="Q4" t="s">
        <v>26</v>
      </c>
      <c r="R4">
        <f t="shared" ref="R4:R67" si="0">G4*M4</f>
        <v>56431.77</v>
      </c>
    </row>
    <row r="5" spans="2:27" x14ac:dyDescent="0.3">
      <c r="B5">
        <v>188771</v>
      </c>
      <c r="C5" t="s">
        <v>16</v>
      </c>
      <c r="D5" t="s">
        <v>17</v>
      </c>
      <c r="E5" t="s">
        <v>18</v>
      </c>
      <c r="F5" t="s">
        <v>17</v>
      </c>
      <c r="G5">
        <v>654</v>
      </c>
      <c r="H5" t="s">
        <v>19</v>
      </c>
      <c r="I5" t="s">
        <v>27</v>
      </c>
      <c r="J5" t="s">
        <v>28</v>
      </c>
      <c r="K5" t="s">
        <v>29</v>
      </c>
      <c r="L5" t="s">
        <v>30</v>
      </c>
      <c r="M5">
        <v>169</v>
      </c>
      <c r="N5" t="s">
        <v>24</v>
      </c>
      <c r="O5">
        <v>45341.368131828705</v>
      </c>
      <c r="P5" t="s">
        <v>25</v>
      </c>
      <c r="Q5" t="s">
        <v>26</v>
      </c>
      <c r="R5">
        <f t="shared" si="0"/>
        <v>110526</v>
      </c>
      <c r="T5" s="4"/>
    </row>
    <row r="6" spans="2:27" x14ac:dyDescent="0.3">
      <c r="B6">
        <v>180176</v>
      </c>
      <c r="C6" t="s">
        <v>31</v>
      </c>
      <c r="D6" t="s">
        <v>32</v>
      </c>
      <c r="E6" t="s">
        <v>18</v>
      </c>
      <c r="F6" t="s">
        <v>32</v>
      </c>
      <c r="G6">
        <v>2220</v>
      </c>
      <c r="H6" t="s">
        <v>19</v>
      </c>
      <c r="I6" t="s">
        <v>33</v>
      </c>
      <c r="J6" t="s">
        <v>34</v>
      </c>
      <c r="K6" t="s">
        <v>35</v>
      </c>
      <c r="L6" t="s">
        <v>36</v>
      </c>
      <c r="M6">
        <v>129</v>
      </c>
      <c r="N6" t="s">
        <v>24</v>
      </c>
      <c r="O6">
        <v>45341.368140057872</v>
      </c>
      <c r="P6" t="s">
        <v>25</v>
      </c>
      <c r="Q6" t="s">
        <v>26</v>
      </c>
      <c r="R6">
        <f t="shared" si="0"/>
        <v>286380</v>
      </c>
    </row>
    <row r="7" spans="2:27" x14ac:dyDescent="0.3">
      <c r="B7">
        <v>112917</v>
      </c>
      <c r="C7" t="s">
        <v>16</v>
      </c>
      <c r="D7" t="s">
        <v>32</v>
      </c>
      <c r="E7" t="s">
        <v>18</v>
      </c>
      <c r="F7" t="s">
        <v>32</v>
      </c>
      <c r="G7">
        <v>1568</v>
      </c>
      <c r="H7" t="s">
        <v>19</v>
      </c>
      <c r="I7" t="s">
        <v>37</v>
      </c>
      <c r="J7" t="s">
        <v>38</v>
      </c>
      <c r="K7" t="s">
        <v>39</v>
      </c>
      <c r="L7" t="s">
        <v>40</v>
      </c>
      <c r="M7">
        <v>129</v>
      </c>
      <c r="N7" t="s">
        <v>24</v>
      </c>
      <c r="O7">
        <v>45341.368146782406</v>
      </c>
      <c r="P7" t="s">
        <v>25</v>
      </c>
      <c r="Q7" t="s">
        <v>26</v>
      </c>
      <c r="R7">
        <f t="shared" si="0"/>
        <v>202272</v>
      </c>
    </row>
    <row r="8" spans="2:27" x14ac:dyDescent="0.3">
      <c r="B8">
        <v>192936</v>
      </c>
      <c r="C8" t="s">
        <v>31</v>
      </c>
      <c r="D8" t="s">
        <v>17</v>
      </c>
      <c r="E8" t="s">
        <v>18</v>
      </c>
      <c r="F8" t="s">
        <v>32</v>
      </c>
      <c r="G8">
        <v>2942</v>
      </c>
      <c r="H8" t="s">
        <v>19</v>
      </c>
      <c r="I8" t="s">
        <v>41</v>
      </c>
      <c r="J8" t="s">
        <v>42</v>
      </c>
      <c r="K8" t="s">
        <v>43</v>
      </c>
      <c r="L8" t="s">
        <v>44</v>
      </c>
      <c r="M8">
        <v>139</v>
      </c>
      <c r="N8" t="s">
        <v>24</v>
      </c>
      <c r="O8">
        <v>45341.368153391202</v>
      </c>
      <c r="P8" t="s">
        <v>25</v>
      </c>
      <c r="Q8" t="s">
        <v>26</v>
      </c>
      <c r="R8">
        <f t="shared" si="0"/>
        <v>408938</v>
      </c>
    </row>
    <row r="9" spans="2:27" x14ac:dyDescent="0.3">
      <c r="B9">
        <v>117590</v>
      </c>
      <c r="C9" t="s">
        <v>31</v>
      </c>
      <c r="D9" t="s">
        <v>17</v>
      </c>
      <c r="E9" t="s">
        <v>18</v>
      </c>
      <c r="F9" t="s">
        <v>17</v>
      </c>
      <c r="G9">
        <v>2968</v>
      </c>
      <c r="H9" t="s">
        <v>19</v>
      </c>
      <c r="I9" t="s">
        <v>45</v>
      </c>
      <c r="J9" t="s">
        <v>46</v>
      </c>
      <c r="K9" t="s">
        <v>47</v>
      </c>
      <c r="L9" t="s">
        <v>48</v>
      </c>
      <c r="M9">
        <v>79.900000000000006</v>
      </c>
      <c r="N9" t="s">
        <v>24</v>
      </c>
      <c r="O9">
        <v>45341.368161342594</v>
      </c>
      <c r="P9" t="s">
        <v>25</v>
      </c>
      <c r="Q9" t="s">
        <v>26</v>
      </c>
      <c r="R9">
        <f t="shared" si="0"/>
        <v>237143.2</v>
      </c>
    </row>
    <row r="10" spans="2:27" x14ac:dyDescent="0.3">
      <c r="B10">
        <v>189118</v>
      </c>
      <c r="C10" t="s">
        <v>49</v>
      </c>
      <c r="D10" t="s">
        <v>32</v>
      </c>
      <c r="E10" t="s">
        <v>18</v>
      </c>
      <c r="F10" t="s">
        <v>32</v>
      </c>
      <c r="G10">
        <v>952</v>
      </c>
      <c r="H10" t="s">
        <v>19</v>
      </c>
      <c r="I10" t="s">
        <v>50</v>
      </c>
      <c r="J10" t="s">
        <v>51</v>
      </c>
      <c r="K10" t="s">
        <v>52</v>
      </c>
      <c r="L10" t="s">
        <v>53</v>
      </c>
      <c r="M10">
        <v>69.989999999999995</v>
      </c>
      <c r="N10" t="s">
        <v>24</v>
      </c>
      <c r="O10">
        <v>45341.368167685185</v>
      </c>
      <c r="P10" t="s">
        <v>25</v>
      </c>
      <c r="Q10" t="s">
        <v>26</v>
      </c>
      <c r="R10">
        <f t="shared" si="0"/>
        <v>66630.48</v>
      </c>
      <c r="Y10" s="4" t="s">
        <v>946</v>
      </c>
    </row>
    <row r="11" spans="2:27" x14ac:dyDescent="0.3">
      <c r="B11">
        <v>182157</v>
      </c>
      <c r="C11" t="s">
        <v>16</v>
      </c>
      <c r="D11" t="s">
        <v>17</v>
      </c>
      <c r="E11" t="s">
        <v>18</v>
      </c>
      <c r="F11" t="s">
        <v>17</v>
      </c>
      <c r="G11">
        <v>2421</v>
      </c>
      <c r="H11" t="s">
        <v>19</v>
      </c>
      <c r="I11" t="s">
        <v>54</v>
      </c>
      <c r="J11" t="s">
        <v>55</v>
      </c>
      <c r="K11" t="s">
        <v>56</v>
      </c>
      <c r="L11" t="s">
        <v>57</v>
      </c>
      <c r="M11">
        <v>159</v>
      </c>
      <c r="N11" t="s">
        <v>24</v>
      </c>
      <c r="O11">
        <v>45341.36817361111</v>
      </c>
      <c r="P11" t="s">
        <v>25</v>
      </c>
      <c r="Q11" t="s">
        <v>26</v>
      </c>
      <c r="R11">
        <f t="shared" si="0"/>
        <v>384939</v>
      </c>
      <c r="Y11" s="7" t="s">
        <v>948</v>
      </c>
      <c r="Z11" s="8" t="s">
        <v>947</v>
      </c>
      <c r="AA11" s="8" t="s">
        <v>944</v>
      </c>
    </row>
    <row r="12" spans="2:27" x14ac:dyDescent="0.3">
      <c r="B12">
        <v>141861</v>
      </c>
      <c r="C12" t="s">
        <v>16</v>
      </c>
      <c r="D12" t="s">
        <v>32</v>
      </c>
      <c r="E12" t="s">
        <v>18</v>
      </c>
      <c r="F12" t="s">
        <v>32</v>
      </c>
      <c r="G12">
        <v>1916</v>
      </c>
      <c r="H12" t="s">
        <v>19</v>
      </c>
      <c r="I12" t="s">
        <v>58</v>
      </c>
      <c r="J12" t="s">
        <v>59</v>
      </c>
      <c r="K12" t="s">
        <v>60</v>
      </c>
      <c r="L12" t="s">
        <v>61</v>
      </c>
      <c r="M12">
        <v>169</v>
      </c>
      <c r="N12" t="s">
        <v>24</v>
      </c>
      <c r="O12">
        <v>45341.368181481484</v>
      </c>
      <c r="P12" t="s">
        <v>25</v>
      </c>
      <c r="Q12" t="s">
        <v>26</v>
      </c>
      <c r="R12">
        <f t="shared" si="0"/>
        <v>323804</v>
      </c>
      <c r="Y12" s="5" t="s">
        <v>25</v>
      </c>
      <c r="Z12" s="6">
        <v>259468</v>
      </c>
      <c r="AA12" s="6">
        <v>26581815.870000001</v>
      </c>
    </row>
    <row r="13" spans="2:27" x14ac:dyDescent="0.3">
      <c r="B13">
        <v>137121</v>
      </c>
      <c r="C13" t="s">
        <v>16</v>
      </c>
      <c r="D13" t="s">
        <v>17</v>
      </c>
      <c r="E13" t="s">
        <v>18</v>
      </c>
      <c r="F13" t="s">
        <v>32</v>
      </c>
      <c r="G13">
        <v>656</v>
      </c>
      <c r="H13" t="s">
        <v>19</v>
      </c>
      <c r="I13" t="s">
        <v>62</v>
      </c>
      <c r="J13" t="s">
        <v>63</v>
      </c>
      <c r="K13" t="s">
        <v>64</v>
      </c>
      <c r="L13" t="s">
        <v>65</v>
      </c>
      <c r="M13">
        <v>169</v>
      </c>
      <c r="N13" t="s">
        <v>24</v>
      </c>
      <c r="O13">
        <v>45341.368187268519</v>
      </c>
      <c r="P13" t="s">
        <v>25</v>
      </c>
      <c r="Q13" t="s">
        <v>26</v>
      </c>
      <c r="R13">
        <f t="shared" si="0"/>
        <v>110864</v>
      </c>
      <c r="Y13" t="s">
        <v>636</v>
      </c>
      <c r="Z13" s="6">
        <v>75242</v>
      </c>
      <c r="AA13" s="6">
        <v>4090631.4800000004</v>
      </c>
    </row>
    <row r="14" spans="2:27" x14ac:dyDescent="0.3">
      <c r="B14">
        <v>113143</v>
      </c>
      <c r="C14" t="s">
        <v>16</v>
      </c>
      <c r="D14" t="s">
        <v>32</v>
      </c>
      <c r="E14" t="s">
        <v>18</v>
      </c>
      <c r="F14" t="s">
        <v>32</v>
      </c>
      <c r="G14">
        <v>2663</v>
      </c>
      <c r="H14" t="s">
        <v>19</v>
      </c>
      <c r="I14" t="s">
        <v>66</v>
      </c>
      <c r="J14" t="s">
        <v>67</v>
      </c>
      <c r="K14" t="s">
        <v>68</v>
      </c>
      <c r="L14" t="s">
        <v>69</v>
      </c>
      <c r="M14">
        <v>129</v>
      </c>
      <c r="N14" t="s">
        <v>24</v>
      </c>
      <c r="O14">
        <v>45341.368194571762</v>
      </c>
      <c r="P14" t="s">
        <v>25</v>
      </c>
      <c r="Q14" t="s">
        <v>26</v>
      </c>
      <c r="R14">
        <f t="shared" si="0"/>
        <v>343527</v>
      </c>
      <c r="Y14" t="s">
        <v>517</v>
      </c>
      <c r="Z14" s="6">
        <v>57906</v>
      </c>
      <c r="AA14" s="6">
        <v>3754837.63</v>
      </c>
    </row>
    <row r="15" spans="2:27" x14ac:dyDescent="0.3">
      <c r="B15">
        <v>140028</v>
      </c>
      <c r="C15" t="s">
        <v>16</v>
      </c>
      <c r="D15" t="s">
        <v>32</v>
      </c>
      <c r="E15" t="s">
        <v>18</v>
      </c>
      <c r="F15" t="s">
        <v>32</v>
      </c>
      <c r="G15">
        <v>1260</v>
      </c>
      <c r="H15" t="s">
        <v>19</v>
      </c>
      <c r="I15" t="s">
        <v>70</v>
      </c>
      <c r="J15" t="s">
        <v>71</v>
      </c>
      <c r="K15" t="s">
        <v>72</v>
      </c>
      <c r="L15" t="s">
        <v>73</v>
      </c>
      <c r="M15">
        <v>159</v>
      </c>
      <c r="N15" t="s">
        <v>24</v>
      </c>
      <c r="O15">
        <v>45341.36820034722</v>
      </c>
      <c r="P15" t="s">
        <v>25</v>
      </c>
      <c r="Q15" t="s">
        <v>26</v>
      </c>
      <c r="R15">
        <f t="shared" si="0"/>
        <v>200340</v>
      </c>
      <c r="Y15" t="s">
        <v>836</v>
      </c>
      <c r="Z15" s="6">
        <v>53637</v>
      </c>
      <c r="AA15" s="6">
        <v>3696806.2500000005</v>
      </c>
    </row>
    <row r="16" spans="2:27" x14ac:dyDescent="0.3">
      <c r="B16">
        <v>134693</v>
      </c>
      <c r="C16" t="s">
        <v>16</v>
      </c>
      <c r="D16" t="s">
        <v>32</v>
      </c>
      <c r="E16" t="s">
        <v>18</v>
      </c>
      <c r="F16" t="s">
        <v>17</v>
      </c>
      <c r="G16">
        <v>2124</v>
      </c>
      <c r="H16" t="s">
        <v>19</v>
      </c>
      <c r="I16" t="s">
        <v>74</v>
      </c>
      <c r="J16" t="s">
        <v>75</v>
      </c>
      <c r="K16" t="s">
        <v>76</v>
      </c>
      <c r="L16" t="s">
        <v>77</v>
      </c>
      <c r="M16">
        <v>169</v>
      </c>
      <c r="N16" t="s">
        <v>24</v>
      </c>
      <c r="O16">
        <v>45341.368208449072</v>
      </c>
      <c r="P16" t="s">
        <v>25</v>
      </c>
      <c r="Q16" t="s">
        <v>26</v>
      </c>
      <c r="R16">
        <f t="shared" si="0"/>
        <v>358956</v>
      </c>
      <c r="Y16" t="s">
        <v>785</v>
      </c>
      <c r="Z16" s="6">
        <v>13320</v>
      </c>
      <c r="AA16" s="6">
        <v>864385.25</v>
      </c>
    </row>
    <row r="17" spans="2:27" x14ac:dyDescent="0.3">
      <c r="B17">
        <v>151396</v>
      </c>
      <c r="C17" t="s">
        <v>49</v>
      </c>
      <c r="D17" t="s">
        <v>32</v>
      </c>
      <c r="E17" t="s">
        <v>18</v>
      </c>
      <c r="F17" t="s">
        <v>32</v>
      </c>
      <c r="G17">
        <v>729</v>
      </c>
      <c r="H17" t="s">
        <v>19</v>
      </c>
      <c r="I17" t="s">
        <v>78</v>
      </c>
      <c r="J17" t="s">
        <v>79</v>
      </c>
      <c r="K17" t="s">
        <v>80</v>
      </c>
      <c r="L17" t="s">
        <v>81</v>
      </c>
      <c r="M17">
        <v>439</v>
      </c>
      <c r="N17" t="s">
        <v>24</v>
      </c>
      <c r="O17">
        <v>45341.368214942129</v>
      </c>
      <c r="P17" t="s">
        <v>25</v>
      </c>
      <c r="Q17" t="s">
        <v>26</v>
      </c>
      <c r="R17">
        <f t="shared" si="0"/>
        <v>320031</v>
      </c>
    </row>
    <row r="18" spans="2:27" x14ac:dyDescent="0.3">
      <c r="B18">
        <v>132889</v>
      </c>
      <c r="C18" t="s">
        <v>16</v>
      </c>
      <c r="D18" t="s">
        <v>32</v>
      </c>
      <c r="E18" t="s">
        <v>18</v>
      </c>
      <c r="F18" t="s">
        <v>32</v>
      </c>
      <c r="G18">
        <v>2265</v>
      </c>
      <c r="H18" t="s">
        <v>19</v>
      </c>
      <c r="I18" t="s">
        <v>82</v>
      </c>
      <c r="J18" t="s">
        <v>83</v>
      </c>
      <c r="K18" t="s">
        <v>84</v>
      </c>
      <c r="L18" t="s">
        <v>85</v>
      </c>
      <c r="M18">
        <v>99.9</v>
      </c>
      <c r="N18" t="s">
        <v>24</v>
      </c>
      <c r="O18">
        <v>45341.368220509263</v>
      </c>
      <c r="P18" t="s">
        <v>25</v>
      </c>
      <c r="Q18" t="s">
        <v>26</v>
      </c>
      <c r="R18">
        <f t="shared" si="0"/>
        <v>226273.5</v>
      </c>
    </row>
    <row r="19" spans="2:27" x14ac:dyDescent="0.3">
      <c r="B19">
        <v>152174</v>
      </c>
      <c r="C19" t="s">
        <v>31</v>
      </c>
      <c r="D19" t="s">
        <v>17</v>
      </c>
      <c r="E19" t="s">
        <v>18</v>
      </c>
      <c r="F19" t="s">
        <v>17</v>
      </c>
      <c r="G19">
        <v>2226</v>
      </c>
      <c r="H19" t="s">
        <v>19</v>
      </c>
      <c r="I19" t="s">
        <v>86</v>
      </c>
      <c r="J19" t="s">
        <v>87</v>
      </c>
      <c r="K19" t="s">
        <v>88</v>
      </c>
      <c r="L19" t="s">
        <v>89</v>
      </c>
      <c r="M19">
        <v>99.9</v>
      </c>
      <c r="N19" t="s">
        <v>24</v>
      </c>
      <c r="O19">
        <v>45341.368227465275</v>
      </c>
      <c r="P19" t="s">
        <v>25</v>
      </c>
      <c r="Q19" t="s">
        <v>26</v>
      </c>
      <c r="R19">
        <f t="shared" si="0"/>
        <v>222377.40000000002</v>
      </c>
      <c r="Y19">
        <f>SUM(Table8[Sales Volume])</f>
        <v>459573</v>
      </c>
    </row>
    <row r="20" spans="2:27" x14ac:dyDescent="0.3">
      <c r="B20">
        <v>129906</v>
      </c>
      <c r="C20" t="s">
        <v>16</v>
      </c>
      <c r="D20" t="s">
        <v>17</v>
      </c>
      <c r="E20" t="s">
        <v>18</v>
      </c>
      <c r="F20" t="s">
        <v>17</v>
      </c>
      <c r="G20">
        <v>2089</v>
      </c>
      <c r="H20" t="s">
        <v>19</v>
      </c>
      <c r="I20" t="s">
        <v>90</v>
      </c>
      <c r="J20" t="s">
        <v>91</v>
      </c>
      <c r="K20" t="s">
        <v>92</v>
      </c>
      <c r="L20" t="s">
        <v>93</v>
      </c>
      <c r="M20">
        <v>69.900000000000006</v>
      </c>
      <c r="N20" t="s">
        <v>24</v>
      </c>
      <c r="O20">
        <v>45341.368233634261</v>
      </c>
      <c r="P20" t="s">
        <v>25</v>
      </c>
      <c r="Q20" t="s">
        <v>26</v>
      </c>
      <c r="R20">
        <f t="shared" si="0"/>
        <v>146021.1</v>
      </c>
      <c r="Y20">
        <f>SUM(Table8[Total sales ($)])</f>
        <v>38988476.479999997</v>
      </c>
    </row>
    <row r="21" spans="2:27" x14ac:dyDescent="0.3">
      <c r="B21">
        <v>195879</v>
      </c>
      <c r="C21" t="s">
        <v>49</v>
      </c>
      <c r="D21" t="s">
        <v>32</v>
      </c>
      <c r="E21" t="s">
        <v>18</v>
      </c>
      <c r="F21" t="s">
        <v>32</v>
      </c>
      <c r="G21">
        <v>2339</v>
      </c>
      <c r="H21" t="s">
        <v>19</v>
      </c>
      <c r="I21" t="s">
        <v>94</v>
      </c>
      <c r="J21" t="s">
        <v>95</v>
      </c>
      <c r="K21" t="s">
        <v>96</v>
      </c>
      <c r="L21" t="s">
        <v>97</v>
      </c>
      <c r="M21">
        <v>129</v>
      </c>
      <c r="N21" t="s">
        <v>24</v>
      </c>
      <c r="O21">
        <v>45341.368239525465</v>
      </c>
      <c r="P21" t="s">
        <v>25</v>
      </c>
      <c r="Q21" t="s">
        <v>26</v>
      </c>
      <c r="R21">
        <f t="shared" si="0"/>
        <v>301731</v>
      </c>
    </row>
    <row r="22" spans="2:27" x14ac:dyDescent="0.3">
      <c r="B22">
        <v>155050</v>
      </c>
      <c r="C22" t="s">
        <v>16</v>
      </c>
      <c r="D22" t="s">
        <v>17</v>
      </c>
      <c r="E22" t="s">
        <v>18</v>
      </c>
      <c r="F22" t="s">
        <v>32</v>
      </c>
      <c r="G22">
        <v>2321</v>
      </c>
      <c r="H22" t="s">
        <v>19</v>
      </c>
      <c r="I22" t="s">
        <v>98</v>
      </c>
      <c r="J22" t="s">
        <v>99</v>
      </c>
      <c r="K22" t="s">
        <v>100</v>
      </c>
      <c r="L22" t="s">
        <v>101</v>
      </c>
      <c r="M22">
        <v>129</v>
      </c>
      <c r="N22" t="s">
        <v>24</v>
      </c>
      <c r="O22">
        <v>45341.368247453705</v>
      </c>
      <c r="P22" t="s">
        <v>25</v>
      </c>
      <c r="Q22" t="s">
        <v>26</v>
      </c>
      <c r="R22">
        <f t="shared" si="0"/>
        <v>299409</v>
      </c>
    </row>
    <row r="23" spans="2:27" x14ac:dyDescent="0.3">
      <c r="B23">
        <v>194410</v>
      </c>
      <c r="C23" t="s">
        <v>31</v>
      </c>
      <c r="D23" t="s">
        <v>17</v>
      </c>
      <c r="E23" t="s">
        <v>18</v>
      </c>
      <c r="F23" t="s">
        <v>17</v>
      </c>
      <c r="G23">
        <v>669</v>
      </c>
      <c r="H23" t="s">
        <v>19</v>
      </c>
      <c r="I23" t="s">
        <v>102</v>
      </c>
      <c r="J23" t="s">
        <v>103</v>
      </c>
      <c r="K23" t="s">
        <v>56</v>
      </c>
      <c r="L23" t="s">
        <v>104</v>
      </c>
      <c r="M23">
        <v>159</v>
      </c>
      <c r="N23" t="s">
        <v>24</v>
      </c>
      <c r="O23">
        <v>45341.368254085646</v>
      </c>
      <c r="P23" t="s">
        <v>25</v>
      </c>
      <c r="Q23" t="s">
        <v>26</v>
      </c>
      <c r="R23">
        <f t="shared" si="0"/>
        <v>106371</v>
      </c>
    </row>
    <row r="24" spans="2:27" ht="15" thickBot="1" x14ac:dyDescent="0.35">
      <c r="B24">
        <v>141904</v>
      </c>
      <c r="C24" t="s">
        <v>31</v>
      </c>
      <c r="D24" t="s">
        <v>32</v>
      </c>
      <c r="E24" t="s">
        <v>18</v>
      </c>
      <c r="F24" t="s">
        <v>32</v>
      </c>
      <c r="G24">
        <v>1712</v>
      </c>
      <c r="H24" t="s">
        <v>19</v>
      </c>
      <c r="I24" t="s">
        <v>105</v>
      </c>
      <c r="J24" t="s">
        <v>106</v>
      </c>
      <c r="K24" t="s">
        <v>107</v>
      </c>
      <c r="L24" t="s">
        <v>108</v>
      </c>
      <c r="M24">
        <v>109</v>
      </c>
      <c r="N24" t="s">
        <v>24</v>
      </c>
      <c r="O24">
        <v>45341.368259710645</v>
      </c>
      <c r="P24" t="s">
        <v>25</v>
      </c>
      <c r="Q24" t="s">
        <v>26</v>
      </c>
      <c r="R24">
        <f t="shared" si="0"/>
        <v>186608</v>
      </c>
      <c r="Y24" s="9" t="s">
        <v>949</v>
      </c>
      <c r="Z24" s="10" t="s">
        <v>5</v>
      </c>
      <c r="AA24" s="11" t="s">
        <v>950</v>
      </c>
    </row>
    <row r="25" spans="2:27" ht="15.6" thickTop="1" thickBot="1" x14ac:dyDescent="0.35">
      <c r="B25">
        <v>124981</v>
      </c>
      <c r="C25" t="s">
        <v>49</v>
      </c>
      <c r="D25" t="s">
        <v>17</v>
      </c>
      <c r="E25" t="s">
        <v>18</v>
      </c>
      <c r="F25" t="s">
        <v>32</v>
      </c>
      <c r="G25">
        <v>1832</v>
      </c>
      <c r="H25" t="s">
        <v>19</v>
      </c>
      <c r="I25" t="s">
        <v>109</v>
      </c>
      <c r="J25" t="s">
        <v>110</v>
      </c>
      <c r="K25" t="s">
        <v>111</v>
      </c>
      <c r="L25" t="s">
        <v>112</v>
      </c>
      <c r="M25">
        <v>89.9</v>
      </c>
      <c r="N25" t="s">
        <v>24</v>
      </c>
      <c r="O25">
        <v>45341.368266944446</v>
      </c>
      <c r="P25" t="s">
        <v>25</v>
      </c>
      <c r="Q25" t="s">
        <v>26</v>
      </c>
      <c r="R25">
        <f t="shared" si="0"/>
        <v>164696.80000000002</v>
      </c>
      <c r="Y25" s="12"/>
      <c r="Z25" s="13"/>
      <c r="AA25" s="14"/>
    </row>
    <row r="26" spans="2:27" ht="15" thickTop="1" x14ac:dyDescent="0.3">
      <c r="B26">
        <v>161909</v>
      </c>
      <c r="C26" t="s">
        <v>16</v>
      </c>
      <c r="D26" t="s">
        <v>32</v>
      </c>
      <c r="E26" t="s">
        <v>18</v>
      </c>
      <c r="F26" t="s">
        <v>17</v>
      </c>
      <c r="G26">
        <v>1290</v>
      </c>
      <c r="H26" t="s">
        <v>19</v>
      </c>
      <c r="I26" t="s">
        <v>113</v>
      </c>
      <c r="J26" t="s">
        <v>114</v>
      </c>
      <c r="K26" t="s">
        <v>115</v>
      </c>
      <c r="L26" t="s">
        <v>116</v>
      </c>
      <c r="M26">
        <v>299</v>
      </c>
      <c r="N26" t="s">
        <v>24</v>
      </c>
      <c r="O26">
        <v>45341.368273298613</v>
      </c>
      <c r="P26" t="s">
        <v>25</v>
      </c>
      <c r="Q26" t="s">
        <v>26</v>
      </c>
      <c r="R26">
        <f t="shared" si="0"/>
        <v>385710</v>
      </c>
      <c r="Y26" s="15"/>
      <c r="Z26" s="16"/>
      <c r="AA26" s="17">
        <f>SUBTOTAL(103,'cleaned data'!$AA$25:$AA$25)</f>
        <v>0</v>
      </c>
    </row>
    <row r="27" spans="2:27" x14ac:dyDescent="0.3">
      <c r="B27">
        <v>129152</v>
      </c>
      <c r="C27" t="s">
        <v>31</v>
      </c>
      <c r="D27" t="s">
        <v>17</v>
      </c>
      <c r="E27" t="s">
        <v>18</v>
      </c>
      <c r="F27" t="s">
        <v>17</v>
      </c>
      <c r="G27">
        <v>2356</v>
      </c>
      <c r="H27" t="s">
        <v>19</v>
      </c>
      <c r="I27" t="s">
        <v>117</v>
      </c>
      <c r="J27" t="s">
        <v>118</v>
      </c>
      <c r="K27" t="s">
        <v>119</v>
      </c>
      <c r="L27" t="s">
        <v>120</v>
      </c>
      <c r="M27">
        <v>49.9</v>
      </c>
      <c r="N27" t="s">
        <v>24</v>
      </c>
      <c r="O27">
        <v>45341.368280150462</v>
      </c>
      <c r="P27" t="s">
        <v>25</v>
      </c>
      <c r="Q27" t="s">
        <v>26</v>
      </c>
      <c r="R27">
        <f t="shared" si="0"/>
        <v>117564.4</v>
      </c>
    </row>
    <row r="28" spans="2:27" x14ac:dyDescent="0.3">
      <c r="B28">
        <v>183243</v>
      </c>
      <c r="C28" t="s">
        <v>49</v>
      </c>
      <c r="D28" t="s">
        <v>32</v>
      </c>
      <c r="E28" t="s">
        <v>18</v>
      </c>
      <c r="F28" t="s">
        <v>17</v>
      </c>
      <c r="G28">
        <v>1524</v>
      </c>
      <c r="H28" t="s">
        <v>19</v>
      </c>
      <c r="I28" t="s">
        <v>121</v>
      </c>
      <c r="J28" t="s">
        <v>122</v>
      </c>
      <c r="K28" t="s">
        <v>123</v>
      </c>
      <c r="L28" t="s">
        <v>124</v>
      </c>
      <c r="M28">
        <v>169</v>
      </c>
      <c r="N28" t="s">
        <v>24</v>
      </c>
      <c r="O28">
        <v>45341.368285868055</v>
      </c>
      <c r="P28" t="s">
        <v>25</v>
      </c>
      <c r="Q28" t="s">
        <v>26</v>
      </c>
      <c r="R28">
        <f t="shared" si="0"/>
        <v>257556</v>
      </c>
    </row>
    <row r="29" spans="2:27" x14ac:dyDescent="0.3">
      <c r="B29">
        <v>198248</v>
      </c>
      <c r="C29" t="s">
        <v>49</v>
      </c>
      <c r="D29" t="s">
        <v>32</v>
      </c>
      <c r="E29" t="s">
        <v>18</v>
      </c>
      <c r="F29" t="s">
        <v>17</v>
      </c>
      <c r="G29">
        <v>1644</v>
      </c>
      <c r="H29" t="s">
        <v>19</v>
      </c>
      <c r="I29" t="s">
        <v>125</v>
      </c>
      <c r="J29" t="s">
        <v>126</v>
      </c>
      <c r="K29" t="s">
        <v>127</v>
      </c>
      <c r="L29" t="s">
        <v>128</v>
      </c>
      <c r="M29">
        <v>69.900000000000006</v>
      </c>
      <c r="N29" t="s">
        <v>24</v>
      </c>
      <c r="O29">
        <v>45341.368291516206</v>
      </c>
      <c r="P29" t="s">
        <v>25</v>
      </c>
      <c r="Q29" t="s">
        <v>26</v>
      </c>
      <c r="R29">
        <f t="shared" si="0"/>
        <v>114915.6</v>
      </c>
    </row>
    <row r="30" spans="2:27" x14ac:dyDescent="0.3">
      <c r="B30">
        <v>191230</v>
      </c>
      <c r="C30" t="s">
        <v>31</v>
      </c>
      <c r="D30" t="s">
        <v>17</v>
      </c>
      <c r="E30" t="s">
        <v>18</v>
      </c>
      <c r="F30" t="s">
        <v>17</v>
      </c>
      <c r="G30">
        <v>966</v>
      </c>
      <c r="H30" t="s">
        <v>19</v>
      </c>
      <c r="I30" t="s">
        <v>129</v>
      </c>
      <c r="J30" t="s">
        <v>130</v>
      </c>
      <c r="K30" t="s">
        <v>131</v>
      </c>
      <c r="L30" t="s">
        <v>132</v>
      </c>
      <c r="M30">
        <v>89.9</v>
      </c>
      <c r="N30" t="s">
        <v>24</v>
      </c>
      <c r="O30">
        <v>45341.36829791667</v>
      </c>
      <c r="P30" t="s">
        <v>25</v>
      </c>
      <c r="Q30" t="s">
        <v>26</v>
      </c>
      <c r="R30">
        <f t="shared" si="0"/>
        <v>86843.400000000009</v>
      </c>
    </row>
    <row r="31" spans="2:27" x14ac:dyDescent="0.3">
      <c r="B31">
        <v>187234</v>
      </c>
      <c r="C31" t="s">
        <v>49</v>
      </c>
      <c r="D31" t="s">
        <v>32</v>
      </c>
      <c r="E31" t="s">
        <v>18</v>
      </c>
      <c r="F31" t="s">
        <v>32</v>
      </c>
      <c r="G31">
        <v>2575</v>
      </c>
      <c r="H31" t="s">
        <v>19</v>
      </c>
      <c r="I31" t="s">
        <v>133</v>
      </c>
      <c r="J31" t="s">
        <v>134</v>
      </c>
      <c r="K31" t="s">
        <v>135</v>
      </c>
      <c r="L31" t="s">
        <v>136</v>
      </c>
      <c r="M31">
        <v>59.9</v>
      </c>
      <c r="N31" t="s">
        <v>24</v>
      </c>
      <c r="O31">
        <v>45341.368306493052</v>
      </c>
      <c r="P31" t="s">
        <v>25</v>
      </c>
      <c r="Q31" t="s">
        <v>26</v>
      </c>
      <c r="R31">
        <f t="shared" si="0"/>
        <v>154242.5</v>
      </c>
    </row>
    <row r="32" spans="2:27" x14ac:dyDescent="0.3">
      <c r="B32">
        <v>148888</v>
      </c>
      <c r="C32" t="s">
        <v>49</v>
      </c>
      <c r="D32" t="s">
        <v>17</v>
      </c>
      <c r="E32" t="s">
        <v>18</v>
      </c>
      <c r="F32" t="s">
        <v>17</v>
      </c>
      <c r="G32">
        <v>2774</v>
      </c>
      <c r="H32" t="s">
        <v>19</v>
      </c>
      <c r="I32" t="s">
        <v>137</v>
      </c>
      <c r="J32" t="s">
        <v>138</v>
      </c>
      <c r="K32" t="s">
        <v>139</v>
      </c>
      <c r="L32" t="s">
        <v>140</v>
      </c>
      <c r="M32">
        <v>109</v>
      </c>
      <c r="N32" t="s">
        <v>24</v>
      </c>
      <c r="O32">
        <v>45341.368312453706</v>
      </c>
      <c r="P32" t="s">
        <v>25</v>
      </c>
      <c r="Q32" t="s">
        <v>26</v>
      </c>
      <c r="R32">
        <f t="shared" si="0"/>
        <v>302366</v>
      </c>
    </row>
    <row r="33" spans="2:18" x14ac:dyDescent="0.3">
      <c r="B33">
        <v>110805</v>
      </c>
      <c r="C33" t="s">
        <v>49</v>
      </c>
      <c r="D33" t="s">
        <v>32</v>
      </c>
      <c r="E33" t="s">
        <v>18</v>
      </c>
      <c r="F33" t="s">
        <v>17</v>
      </c>
      <c r="G33">
        <v>2477</v>
      </c>
      <c r="H33" t="s">
        <v>19</v>
      </c>
      <c r="I33" t="s">
        <v>141</v>
      </c>
      <c r="J33" t="s">
        <v>142</v>
      </c>
      <c r="K33" t="s">
        <v>143</v>
      </c>
      <c r="L33" t="s">
        <v>144</v>
      </c>
      <c r="M33">
        <v>159</v>
      </c>
      <c r="N33" t="s">
        <v>24</v>
      </c>
      <c r="O33">
        <v>45341.36831888889</v>
      </c>
      <c r="P33" t="s">
        <v>25</v>
      </c>
      <c r="Q33" t="s">
        <v>26</v>
      </c>
      <c r="R33">
        <f t="shared" si="0"/>
        <v>393843</v>
      </c>
    </row>
    <row r="34" spans="2:18" x14ac:dyDescent="0.3">
      <c r="B34">
        <v>179801</v>
      </c>
      <c r="C34" t="s">
        <v>49</v>
      </c>
      <c r="D34" t="s">
        <v>17</v>
      </c>
      <c r="E34" t="s">
        <v>18</v>
      </c>
      <c r="F34" t="s">
        <v>32</v>
      </c>
      <c r="G34">
        <v>2608</v>
      </c>
      <c r="H34" t="s">
        <v>19</v>
      </c>
      <c r="I34" t="s">
        <v>145</v>
      </c>
      <c r="J34" t="s">
        <v>146</v>
      </c>
      <c r="K34" t="s">
        <v>147</v>
      </c>
      <c r="L34" t="s">
        <v>148</v>
      </c>
      <c r="M34">
        <v>129</v>
      </c>
      <c r="N34" t="s">
        <v>24</v>
      </c>
      <c r="O34">
        <v>45341.368326956021</v>
      </c>
      <c r="P34" t="s">
        <v>25</v>
      </c>
      <c r="Q34" t="s">
        <v>26</v>
      </c>
      <c r="R34">
        <f t="shared" si="0"/>
        <v>336432</v>
      </c>
    </row>
    <row r="35" spans="2:18" x14ac:dyDescent="0.3">
      <c r="B35">
        <v>134927</v>
      </c>
      <c r="C35" t="s">
        <v>16</v>
      </c>
      <c r="D35" t="s">
        <v>32</v>
      </c>
      <c r="E35" t="s">
        <v>18</v>
      </c>
      <c r="F35" t="s">
        <v>32</v>
      </c>
      <c r="G35">
        <v>2252</v>
      </c>
      <c r="H35" t="s">
        <v>19</v>
      </c>
      <c r="I35" t="s">
        <v>149</v>
      </c>
      <c r="J35" t="s">
        <v>150</v>
      </c>
      <c r="K35" t="s">
        <v>131</v>
      </c>
      <c r="L35" t="s">
        <v>151</v>
      </c>
      <c r="M35">
        <v>129</v>
      </c>
      <c r="N35" t="s">
        <v>24</v>
      </c>
      <c r="O35">
        <v>45341.368332511571</v>
      </c>
      <c r="P35" t="s">
        <v>25</v>
      </c>
      <c r="Q35" t="s">
        <v>26</v>
      </c>
      <c r="R35">
        <f t="shared" si="0"/>
        <v>290508</v>
      </c>
    </row>
    <row r="36" spans="2:18" x14ac:dyDescent="0.3">
      <c r="B36">
        <v>123150</v>
      </c>
      <c r="C36" t="s">
        <v>31</v>
      </c>
      <c r="D36" t="s">
        <v>32</v>
      </c>
      <c r="E36" t="s">
        <v>18</v>
      </c>
      <c r="F36" t="s">
        <v>17</v>
      </c>
      <c r="G36">
        <v>2074</v>
      </c>
      <c r="H36" t="s">
        <v>19</v>
      </c>
      <c r="I36" t="s">
        <v>152</v>
      </c>
      <c r="J36" t="s">
        <v>153</v>
      </c>
      <c r="K36" t="s">
        <v>154</v>
      </c>
      <c r="L36" t="s">
        <v>155</v>
      </c>
      <c r="M36">
        <v>129</v>
      </c>
      <c r="N36" t="s">
        <v>24</v>
      </c>
      <c r="O36">
        <v>45341.36833902778</v>
      </c>
      <c r="P36" t="s">
        <v>25</v>
      </c>
      <c r="Q36" t="s">
        <v>26</v>
      </c>
      <c r="R36">
        <f t="shared" si="0"/>
        <v>267546</v>
      </c>
    </row>
    <row r="37" spans="2:18" x14ac:dyDescent="0.3">
      <c r="B37">
        <v>159145</v>
      </c>
      <c r="C37" t="s">
        <v>31</v>
      </c>
      <c r="D37" t="s">
        <v>32</v>
      </c>
      <c r="E37" t="s">
        <v>18</v>
      </c>
      <c r="F37" t="s">
        <v>17</v>
      </c>
      <c r="G37">
        <v>2579</v>
      </c>
      <c r="H37" t="s">
        <v>19</v>
      </c>
      <c r="I37" t="s">
        <v>156</v>
      </c>
      <c r="J37" t="s">
        <v>157</v>
      </c>
      <c r="K37" t="s">
        <v>52</v>
      </c>
      <c r="L37" t="s">
        <v>158</v>
      </c>
      <c r="M37">
        <v>109</v>
      </c>
      <c r="N37" t="s">
        <v>24</v>
      </c>
      <c r="O37">
        <v>45341.368345879629</v>
      </c>
      <c r="P37" t="s">
        <v>25</v>
      </c>
      <c r="Q37" t="s">
        <v>26</v>
      </c>
      <c r="R37">
        <f t="shared" si="0"/>
        <v>281111</v>
      </c>
    </row>
    <row r="38" spans="2:18" x14ac:dyDescent="0.3">
      <c r="B38">
        <v>172364</v>
      </c>
      <c r="C38" t="s">
        <v>16</v>
      </c>
      <c r="D38" t="s">
        <v>32</v>
      </c>
      <c r="E38" t="s">
        <v>18</v>
      </c>
      <c r="F38" t="s">
        <v>17</v>
      </c>
      <c r="G38">
        <v>2931</v>
      </c>
      <c r="H38" t="s">
        <v>19</v>
      </c>
      <c r="I38" t="s">
        <v>159</v>
      </c>
      <c r="J38" t="s">
        <v>160</v>
      </c>
      <c r="K38" t="s">
        <v>127</v>
      </c>
      <c r="L38" t="s">
        <v>161</v>
      </c>
      <c r="M38">
        <v>109</v>
      </c>
      <c r="N38" t="s">
        <v>24</v>
      </c>
      <c r="O38">
        <v>45341.368357731481</v>
      </c>
      <c r="P38" t="s">
        <v>25</v>
      </c>
      <c r="Q38" t="s">
        <v>26</v>
      </c>
      <c r="R38">
        <f t="shared" si="0"/>
        <v>319479</v>
      </c>
    </row>
    <row r="39" spans="2:18" x14ac:dyDescent="0.3">
      <c r="B39">
        <v>178281</v>
      </c>
      <c r="C39" t="s">
        <v>31</v>
      </c>
      <c r="D39" t="s">
        <v>17</v>
      </c>
      <c r="E39" t="s">
        <v>18</v>
      </c>
      <c r="F39" t="s">
        <v>32</v>
      </c>
      <c r="G39">
        <v>1145</v>
      </c>
      <c r="H39" t="s">
        <v>19</v>
      </c>
      <c r="I39" t="s">
        <v>162</v>
      </c>
      <c r="J39" t="s">
        <v>163</v>
      </c>
      <c r="K39" t="s">
        <v>164</v>
      </c>
      <c r="L39" t="s">
        <v>165</v>
      </c>
      <c r="M39">
        <v>109</v>
      </c>
      <c r="N39" t="s">
        <v>24</v>
      </c>
      <c r="O39">
        <v>45341.368372314813</v>
      </c>
      <c r="P39" t="s">
        <v>25</v>
      </c>
      <c r="Q39" t="s">
        <v>26</v>
      </c>
      <c r="R39">
        <f t="shared" si="0"/>
        <v>124805</v>
      </c>
    </row>
    <row r="40" spans="2:18" x14ac:dyDescent="0.3">
      <c r="B40">
        <v>194339</v>
      </c>
      <c r="C40" t="s">
        <v>31</v>
      </c>
      <c r="D40" t="s">
        <v>17</v>
      </c>
      <c r="E40" t="s">
        <v>18</v>
      </c>
      <c r="F40" t="s">
        <v>17</v>
      </c>
      <c r="G40">
        <v>1792</v>
      </c>
      <c r="H40" t="s">
        <v>19</v>
      </c>
      <c r="I40" t="s">
        <v>166</v>
      </c>
      <c r="J40" t="s">
        <v>167</v>
      </c>
      <c r="K40" t="s">
        <v>168</v>
      </c>
      <c r="L40" t="s">
        <v>169</v>
      </c>
      <c r="M40">
        <v>89.9</v>
      </c>
      <c r="N40" t="s">
        <v>24</v>
      </c>
      <c r="O40">
        <v>45341.368379780091</v>
      </c>
      <c r="P40" t="s">
        <v>25</v>
      </c>
      <c r="Q40" t="s">
        <v>26</v>
      </c>
      <c r="R40">
        <f t="shared" si="0"/>
        <v>161100.80000000002</v>
      </c>
    </row>
    <row r="41" spans="2:18" x14ac:dyDescent="0.3">
      <c r="B41">
        <v>174412</v>
      </c>
      <c r="C41" t="s">
        <v>16</v>
      </c>
      <c r="D41" t="s">
        <v>17</v>
      </c>
      <c r="E41" t="s">
        <v>18</v>
      </c>
      <c r="F41" t="s">
        <v>32</v>
      </c>
      <c r="G41">
        <v>1796</v>
      </c>
      <c r="H41" t="s">
        <v>19</v>
      </c>
      <c r="I41" t="s">
        <v>170</v>
      </c>
      <c r="J41" t="s">
        <v>171</v>
      </c>
      <c r="K41" t="s">
        <v>92</v>
      </c>
      <c r="L41" t="s">
        <v>172</v>
      </c>
      <c r="M41">
        <v>69.900000000000006</v>
      </c>
      <c r="N41" t="s">
        <v>24</v>
      </c>
      <c r="O41">
        <v>45341.368386284725</v>
      </c>
      <c r="P41" t="s">
        <v>25</v>
      </c>
      <c r="Q41" t="s">
        <v>26</v>
      </c>
      <c r="R41">
        <f t="shared" si="0"/>
        <v>125540.40000000001</v>
      </c>
    </row>
    <row r="42" spans="2:18" x14ac:dyDescent="0.3">
      <c r="B42">
        <v>114877</v>
      </c>
      <c r="C42" t="s">
        <v>16</v>
      </c>
      <c r="D42" t="s">
        <v>17</v>
      </c>
      <c r="E42" t="s">
        <v>18</v>
      </c>
      <c r="F42" t="s">
        <v>17</v>
      </c>
      <c r="G42">
        <v>1860</v>
      </c>
      <c r="H42" t="s">
        <v>19</v>
      </c>
      <c r="I42" t="s">
        <v>173</v>
      </c>
      <c r="J42" t="s">
        <v>174</v>
      </c>
      <c r="K42" t="s">
        <v>175</v>
      </c>
      <c r="L42" t="s">
        <v>176</v>
      </c>
      <c r="M42">
        <v>349</v>
      </c>
      <c r="N42" t="s">
        <v>24</v>
      </c>
      <c r="O42">
        <v>45341.368396956015</v>
      </c>
      <c r="P42" t="s">
        <v>25</v>
      </c>
      <c r="Q42" t="s">
        <v>26</v>
      </c>
      <c r="R42">
        <f t="shared" si="0"/>
        <v>649140</v>
      </c>
    </row>
    <row r="43" spans="2:18" x14ac:dyDescent="0.3">
      <c r="B43">
        <v>140727</v>
      </c>
      <c r="C43" t="s">
        <v>31</v>
      </c>
      <c r="D43" t="s">
        <v>32</v>
      </c>
      <c r="E43" t="s">
        <v>18</v>
      </c>
      <c r="F43" t="s">
        <v>32</v>
      </c>
      <c r="G43">
        <v>1002</v>
      </c>
      <c r="H43" t="s">
        <v>19</v>
      </c>
      <c r="I43" t="s">
        <v>177</v>
      </c>
      <c r="J43" t="s">
        <v>178</v>
      </c>
      <c r="K43" t="s">
        <v>47</v>
      </c>
      <c r="L43" t="s">
        <v>179</v>
      </c>
      <c r="M43">
        <v>79.900000000000006</v>
      </c>
      <c r="N43" t="s">
        <v>24</v>
      </c>
      <c r="O43">
        <v>45341.36841318287</v>
      </c>
      <c r="P43" t="s">
        <v>25</v>
      </c>
      <c r="Q43" t="s">
        <v>26</v>
      </c>
      <c r="R43">
        <f t="shared" si="0"/>
        <v>80059.8</v>
      </c>
    </row>
    <row r="44" spans="2:18" x14ac:dyDescent="0.3">
      <c r="B44">
        <v>133109</v>
      </c>
      <c r="C44" t="s">
        <v>49</v>
      </c>
      <c r="D44" t="s">
        <v>17</v>
      </c>
      <c r="E44" t="s">
        <v>18</v>
      </c>
      <c r="F44" t="s">
        <v>32</v>
      </c>
      <c r="G44">
        <v>2063</v>
      </c>
      <c r="H44" t="s">
        <v>19</v>
      </c>
      <c r="I44" t="s">
        <v>180</v>
      </c>
      <c r="J44" t="s">
        <v>181</v>
      </c>
      <c r="K44" t="s">
        <v>182</v>
      </c>
      <c r="L44" t="s">
        <v>183</v>
      </c>
      <c r="M44">
        <v>79.900000000000006</v>
      </c>
      <c r="N44" t="s">
        <v>24</v>
      </c>
      <c r="O44">
        <v>45341.368419386577</v>
      </c>
      <c r="P44" t="s">
        <v>25</v>
      </c>
      <c r="Q44" t="s">
        <v>26</v>
      </c>
      <c r="R44">
        <f t="shared" si="0"/>
        <v>164833.70000000001</v>
      </c>
    </row>
    <row r="45" spans="2:18" x14ac:dyDescent="0.3">
      <c r="B45">
        <v>127296</v>
      </c>
      <c r="C45" t="s">
        <v>16</v>
      </c>
      <c r="D45" t="s">
        <v>17</v>
      </c>
      <c r="E45" t="s">
        <v>18</v>
      </c>
      <c r="F45" t="s">
        <v>17</v>
      </c>
      <c r="G45">
        <v>1165</v>
      </c>
      <c r="H45" t="s">
        <v>19</v>
      </c>
      <c r="I45" t="s">
        <v>184</v>
      </c>
      <c r="J45" t="s">
        <v>185</v>
      </c>
      <c r="K45" t="s">
        <v>186</v>
      </c>
      <c r="L45" t="s">
        <v>187</v>
      </c>
      <c r="M45">
        <v>89.9</v>
      </c>
      <c r="N45" t="s">
        <v>24</v>
      </c>
      <c r="O45">
        <v>45341.368426111112</v>
      </c>
      <c r="P45" t="s">
        <v>25</v>
      </c>
      <c r="Q45" t="s">
        <v>26</v>
      </c>
      <c r="R45">
        <f t="shared" si="0"/>
        <v>104733.5</v>
      </c>
    </row>
    <row r="46" spans="2:18" x14ac:dyDescent="0.3">
      <c r="B46">
        <v>133757</v>
      </c>
      <c r="C46" t="s">
        <v>16</v>
      </c>
      <c r="D46" t="s">
        <v>32</v>
      </c>
      <c r="E46" t="s">
        <v>18</v>
      </c>
      <c r="F46" t="s">
        <v>17</v>
      </c>
      <c r="G46">
        <v>2071</v>
      </c>
      <c r="H46" t="s">
        <v>19</v>
      </c>
      <c r="I46" t="s">
        <v>188</v>
      </c>
      <c r="J46" t="s">
        <v>189</v>
      </c>
      <c r="K46" t="s">
        <v>190</v>
      </c>
      <c r="L46" t="s">
        <v>191</v>
      </c>
      <c r="M46">
        <v>129</v>
      </c>
      <c r="N46" t="s">
        <v>24</v>
      </c>
      <c r="O46">
        <v>45341.368432071758</v>
      </c>
      <c r="P46" t="s">
        <v>25</v>
      </c>
      <c r="Q46" t="s">
        <v>26</v>
      </c>
      <c r="R46">
        <f t="shared" si="0"/>
        <v>267159</v>
      </c>
    </row>
    <row r="47" spans="2:18" x14ac:dyDescent="0.3">
      <c r="B47">
        <v>111760</v>
      </c>
      <c r="C47" t="s">
        <v>31</v>
      </c>
      <c r="D47" t="s">
        <v>17</v>
      </c>
      <c r="E47" t="s">
        <v>18</v>
      </c>
      <c r="F47" t="s">
        <v>17</v>
      </c>
      <c r="G47">
        <v>1474</v>
      </c>
      <c r="H47" t="s">
        <v>19</v>
      </c>
      <c r="I47" t="s">
        <v>192</v>
      </c>
      <c r="J47" t="s">
        <v>193</v>
      </c>
      <c r="K47" t="s">
        <v>194</v>
      </c>
      <c r="L47" t="s">
        <v>195</v>
      </c>
      <c r="M47">
        <v>109</v>
      </c>
      <c r="N47" t="s">
        <v>24</v>
      </c>
      <c r="O47">
        <v>45341.368439097219</v>
      </c>
      <c r="P47" t="s">
        <v>25</v>
      </c>
      <c r="Q47" t="s">
        <v>26</v>
      </c>
      <c r="R47">
        <f t="shared" si="0"/>
        <v>160666</v>
      </c>
    </row>
    <row r="48" spans="2:18" x14ac:dyDescent="0.3">
      <c r="B48">
        <v>198375</v>
      </c>
      <c r="C48" t="s">
        <v>31</v>
      </c>
      <c r="D48" t="s">
        <v>17</v>
      </c>
      <c r="E48" t="s">
        <v>18</v>
      </c>
      <c r="F48" t="s">
        <v>17</v>
      </c>
      <c r="G48">
        <v>2202</v>
      </c>
      <c r="H48" t="s">
        <v>19</v>
      </c>
      <c r="I48" t="s">
        <v>196</v>
      </c>
      <c r="J48" t="s">
        <v>197</v>
      </c>
      <c r="K48" t="s">
        <v>88</v>
      </c>
      <c r="L48" t="s">
        <v>198</v>
      </c>
      <c r="M48">
        <v>69.900000000000006</v>
      </c>
      <c r="N48" t="s">
        <v>24</v>
      </c>
      <c r="O48">
        <v>45341.368445879627</v>
      </c>
      <c r="P48" t="s">
        <v>25</v>
      </c>
      <c r="Q48" t="s">
        <v>26</v>
      </c>
      <c r="R48">
        <f t="shared" si="0"/>
        <v>153919.80000000002</v>
      </c>
    </row>
    <row r="49" spans="2:18" x14ac:dyDescent="0.3">
      <c r="B49">
        <v>168837</v>
      </c>
      <c r="C49" t="s">
        <v>16</v>
      </c>
      <c r="D49" t="s">
        <v>17</v>
      </c>
      <c r="E49" t="s">
        <v>18</v>
      </c>
      <c r="F49" t="s">
        <v>17</v>
      </c>
      <c r="G49">
        <v>665</v>
      </c>
      <c r="H49" t="s">
        <v>19</v>
      </c>
      <c r="I49" t="s">
        <v>199</v>
      </c>
      <c r="J49" t="s">
        <v>200</v>
      </c>
      <c r="K49" t="s">
        <v>168</v>
      </c>
      <c r="L49" t="s">
        <v>169</v>
      </c>
      <c r="M49">
        <v>89.9</v>
      </c>
      <c r="N49" t="s">
        <v>24</v>
      </c>
      <c r="O49">
        <v>45341.36845347222</v>
      </c>
      <c r="P49" t="s">
        <v>25</v>
      </c>
      <c r="Q49" t="s">
        <v>26</v>
      </c>
      <c r="R49">
        <f t="shared" si="0"/>
        <v>59783.500000000007</v>
      </c>
    </row>
    <row r="50" spans="2:18" x14ac:dyDescent="0.3">
      <c r="B50">
        <v>138505</v>
      </c>
      <c r="C50" t="s">
        <v>49</v>
      </c>
      <c r="D50" t="s">
        <v>17</v>
      </c>
      <c r="E50" t="s">
        <v>18</v>
      </c>
      <c r="F50" t="s">
        <v>17</v>
      </c>
      <c r="G50">
        <v>2478</v>
      </c>
      <c r="H50" t="s">
        <v>19</v>
      </c>
      <c r="I50" t="s">
        <v>201</v>
      </c>
      <c r="J50" t="s">
        <v>202</v>
      </c>
      <c r="K50" t="s">
        <v>203</v>
      </c>
      <c r="L50" t="s">
        <v>204</v>
      </c>
      <c r="M50">
        <v>69.900000000000006</v>
      </c>
      <c r="N50" t="s">
        <v>24</v>
      </c>
      <c r="O50">
        <v>45341.368460775462</v>
      </c>
      <c r="P50" t="s">
        <v>25</v>
      </c>
      <c r="Q50" t="s">
        <v>26</v>
      </c>
      <c r="R50">
        <f t="shared" si="0"/>
        <v>173212.2</v>
      </c>
    </row>
    <row r="51" spans="2:18" x14ac:dyDescent="0.3">
      <c r="B51">
        <v>116228</v>
      </c>
      <c r="C51" t="s">
        <v>31</v>
      </c>
      <c r="D51" t="s">
        <v>32</v>
      </c>
      <c r="E51" t="s">
        <v>18</v>
      </c>
      <c r="F51" t="s">
        <v>17</v>
      </c>
      <c r="G51">
        <v>647</v>
      </c>
      <c r="H51" t="s">
        <v>19</v>
      </c>
      <c r="I51" t="s">
        <v>205</v>
      </c>
      <c r="J51" t="s">
        <v>206</v>
      </c>
      <c r="K51" t="s">
        <v>207</v>
      </c>
      <c r="L51" t="s">
        <v>208</v>
      </c>
      <c r="M51">
        <v>89.9</v>
      </c>
      <c r="N51" t="s">
        <v>24</v>
      </c>
      <c r="O51">
        <v>45341.368466828702</v>
      </c>
      <c r="P51" t="s">
        <v>25</v>
      </c>
      <c r="Q51" t="s">
        <v>26</v>
      </c>
      <c r="R51">
        <f t="shared" si="0"/>
        <v>58165.3</v>
      </c>
    </row>
    <row r="52" spans="2:18" x14ac:dyDescent="0.3">
      <c r="B52">
        <v>167592</v>
      </c>
      <c r="C52" t="s">
        <v>49</v>
      </c>
      <c r="D52" t="s">
        <v>32</v>
      </c>
      <c r="E52" t="s">
        <v>18</v>
      </c>
      <c r="F52" t="s">
        <v>17</v>
      </c>
      <c r="G52">
        <v>707</v>
      </c>
      <c r="H52" t="s">
        <v>19</v>
      </c>
      <c r="I52" t="s">
        <v>209</v>
      </c>
      <c r="J52" t="s">
        <v>210</v>
      </c>
      <c r="K52" t="s">
        <v>211</v>
      </c>
      <c r="L52" t="s">
        <v>212</v>
      </c>
      <c r="M52">
        <v>89.9</v>
      </c>
      <c r="N52" t="s">
        <v>24</v>
      </c>
      <c r="O52">
        <v>45341.368475439813</v>
      </c>
      <c r="P52" t="s">
        <v>25</v>
      </c>
      <c r="Q52" t="s">
        <v>26</v>
      </c>
      <c r="R52">
        <f t="shared" si="0"/>
        <v>63559.3</v>
      </c>
    </row>
    <row r="53" spans="2:18" x14ac:dyDescent="0.3">
      <c r="B53">
        <v>133100</v>
      </c>
      <c r="C53" t="s">
        <v>31</v>
      </c>
      <c r="D53" t="s">
        <v>32</v>
      </c>
      <c r="E53" t="s">
        <v>18</v>
      </c>
      <c r="F53" t="s">
        <v>17</v>
      </c>
      <c r="G53">
        <v>2729</v>
      </c>
      <c r="H53" t="s">
        <v>19</v>
      </c>
      <c r="I53" t="s">
        <v>213</v>
      </c>
      <c r="J53" t="s">
        <v>214</v>
      </c>
      <c r="K53" t="s">
        <v>215</v>
      </c>
      <c r="L53" t="s">
        <v>216</v>
      </c>
      <c r="M53">
        <v>89.9</v>
      </c>
      <c r="N53" t="s">
        <v>24</v>
      </c>
      <c r="O53">
        <v>45341.368486828702</v>
      </c>
      <c r="P53" t="s">
        <v>25</v>
      </c>
      <c r="Q53" t="s">
        <v>26</v>
      </c>
      <c r="R53">
        <f t="shared" si="0"/>
        <v>245337.1</v>
      </c>
    </row>
    <row r="54" spans="2:18" x14ac:dyDescent="0.3">
      <c r="B54">
        <v>119955</v>
      </c>
      <c r="C54" t="s">
        <v>49</v>
      </c>
      <c r="D54" t="s">
        <v>17</v>
      </c>
      <c r="E54" t="s">
        <v>18</v>
      </c>
      <c r="F54" t="s">
        <v>17</v>
      </c>
      <c r="G54">
        <v>1590</v>
      </c>
      <c r="H54" t="s">
        <v>19</v>
      </c>
      <c r="I54" t="s">
        <v>217</v>
      </c>
      <c r="J54" t="s">
        <v>218</v>
      </c>
      <c r="K54" t="s">
        <v>164</v>
      </c>
      <c r="L54" t="s">
        <v>219</v>
      </c>
      <c r="M54">
        <v>89.9</v>
      </c>
      <c r="N54" t="s">
        <v>24</v>
      </c>
      <c r="O54">
        <v>45341.368495104165</v>
      </c>
      <c r="P54" t="s">
        <v>25</v>
      </c>
      <c r="Q54" t="s">
        <v>26</v>
      </c>
      <c r="R54">
        <f t="shared" si="0"/>
        <v>142941</v>
      </c>
    </row>
    <row r="55" spans="2:18" x14ac:dyDescent="0.3">
      <c r="B55">
        <v>189349</v>
      </c>
      <c r="C55" t="s">
        <v>31</v>
      </c>
      <c r="D55" t="s">
        <v>32</v>
      </c>
      <c r="E55" t="s">
        <v>18</v>
      </c>
      <c r="F55" t="s">
        <v>17</v>
      </c>
      <c r="G55">
        <v>1245</v>
      </c>
      <c r="H55" t="s">
        <v>19</v>
      </c>
      <c r="I55" t="s">
        <v>220</v>
      </c>
      <c r="J55" t="s">
        <v>221</v>
      </c>
      <c r="K55" t="s">
        <v>222</v>
      </c>
      <c r="L55" t="s">
        <v>223</v>
      </c>
      <c r="M55">
        <v>89.9</v>
      </c>
      <c r="N55" t="s">
        <v>24</v>
      </c>
      <c r="O55">
        <v>45341.368503182872</v>
      </c>
      <c r="P55" t="s">
        <v>25</v>
      </c>
      <c r="Q55" t="s">
        <v>26</v>
      </c>
      <c r="R55">
        <f t="shared" si="0"/>
        <v>111925.5</v>
      </c>
    </row>
    <row r="56" spans="2:18" x14ac:dyDescent="0.3">
      <c r="B56">
        <v>127478</v>
      </c>
      <c r="C56" t="s">
        <v>49</v>
      </c>
      <c r="D56" t="s">
        <v>17</v>
      </c>
      <c r="E56" t="s">
        <v>18</v>
      </c>
      <c r="F56" t="s">
        <v>32</v>
      </c>
      <c r="G56">
        <v>2498</v>
      </c>
      <c r="H56" t="s">
        <v>19</v>
      </c>
      <c r="I56" t="s">
        <v>224</v>
      </c>
      <c r="J56" t="s">
        <v>225</v>
      </c>
      <c r="K56" t="s">
        <v>226</v>
      </c>
      <c r="L56" t="s">
        <v>227</v>
      </c>
      <c r="M56">
        <v>129</v>
      </c>
      <c r="N56" t="s">
        <v>24</v>
      </c>
      <c r="O56">
        <v>45341.368508634259</v>
      </c>
      <c r="P56" t="s">
        <v>25</v>
      </c>
      <c r="Q56" t="s">
        <v>26</v>
      </c>
      <c r="R56">
        <f t="shared" si="0"/>
        <v>322242</v>
      </c>
    </row>
    <row r="57" spans="2:18" x14ac:dyDescent="0.3">
      <c r="B57">
        <v>180661</v>
      </c>
      <c r="C57" t="s">
        <v>49</v>
      </c>
      <c r="D57" t="s">
        <v>17</v>
      </c>
      <c r="E57" t="s">
        <v>18</v>
      </c>
      <c r="F57" t="s">
        <v>32</v>
      </c>
      <c r="G57">
        <v>1041</v>
      </c>
      <c r="H57" t="s">
        <v>19</v>
      </c>
      <c r="I57" t="s">
        <v>228</v>
      </c>
      <c r="J57" t="s">
        <v>229</v>
      </c>
      <c r="K57" t="s">
        <v>230</v>
      </c>
      <c r="L57" t="s">
        <v>231</v>
      </c>
      <c r="M57">
        <v>129</v>
      </c>
      <c r="N57" t="s">
        <v>24</v>
      </c>
      <c r="O57">
        <v>45341.368514907408</v>
      </c>
      <c r="P57" t="s">
        <v>25</v>
      </c>
      <c r="Q57" t="s">
        <v>26</v>
      </c>
      <c r="R57">
        <f t="shared" si="0"/>
        <v>134289</v>
      </c>
    </row>
    <row r="58" spans="2:18" x14ac:dyDescent="0.3">
      <c r="B58">
        <v>186681</v>
      </c>
      <c r="C58" t="s">
        <v>31</v>
      </c>
      <c r="D58" t="s">
        <v>17</v>
      </c>
      <c r="E58" t="s">
        <v>18</v>
      </c>
      <c r="F58" t="s">
        <v>32</v>
      </c>
      <c r="G58">
        <v>1717</v>
      </c>
      <c r="H58" t="s">
        <v>19</v>
      </c>
      <c r="I58" t="s">
        <v>232</v>
      </c>
      <c r="J58" t="s">
        <v>233</v>
      </c>
      <c r="K58" t="s">
        <v>234</v>
      </c>
      <c r="L58" t="s">
        <v>235</v>
      </c>
      <c r="M58">
        <v>19.989999999999998</v>
      </c>
      <c r="N58" t="s">
        <v>24</v>
      </c>
      <c r="O58">
        <v>45341.368520983793</v>
      </c>
      <c r="P58" t="s">
        <v>25</v>
      </c>
      <c r="Q58" t="s">
        <v>26</v>
      </c>
      <c r="R58">
        <f t="shared" si="0"/>
        <v>34322.829999999994</v>
      </c>
    </row>
    <row r="59" spans="2:18" x14ac:dyDescent="0.3">
      <c r="B59">
        <v>133183</v>
      </c>
      <c r="C59" t="s">
        <v>49</v>
      </c>
      <c r="D59" t="s">
        <v>32</v>
      </c>
      <c r="E59" t="s">
        <v>18</v>
      </c>
      <c r="F59" t="s">
        <v>32</v>
      </c>
      <c r="G59">
        <v>2859</v>
      </c>
      <c r="H59" t="s">
        <v>19</v>
      </c>
      <c r="I59" t="s">
        <v>236</v>
      </c>
      <c r="J59" t="s">
        <v>237</v>
      </c>
      <c r="K59" t="s">
        <v>238</v>
      </c>
      <c r="L59" t="s">
        <v>239</v>
      </c>
      <c r="M59">
        <v>89.9</v>
      </c>
      <c r="N59" t="s">
        <v>24</v>
      </c>
      <c r="O59">
        <v>45341.36852891204</v>
      </c>
      <c r="P59" t="s">
        <v>25</v>
      </c>
      <c r="Q59" t="s">
        <v>26</v>
      </c>
      <c r="R59">
        <f t="shared" si="0"/>
        <v>257024.1</v>
      </c>
    </row>
    <row r="60" spans="2:18" x14ac:dyDescent="0.3">
      <c r="B60">
        <v>173508</v>
      </c>
      <c r="C60" t="s">
        <v>16</v>
      </c>
      <c r="D60" t="s">
        <v>32</v>
      </c>
      <c r="E60" t="s">
        <v>18</v>
      </c>
      <c r="F60" t="s">
        <v>17</v>
      </c>
      <c r="G60">
        <v>1658</v>
      </c>
      <c r="H60" t="s">
        <v>19</v>
      </c>
      <c r="I60" t="s">
        <v>240</v>
      </c>
      <c r="J60" t="s">
        <v>241</v>
      </c>
      <c r="K60" t="s">
        <v>242</v>
      </c>
      <c r="L60" t="s">
        <v>243</v>
      </c>
      <c r="M60">
        <v>129</v>
      </c>
      <c r="N60" t="s">
        <v>24</v>
      </c>
      <c r="O60">
        <v>45341.368535034722</v>
      </c>
      <c r="P60" t="s">
        <v>25</v>
      </c>
      <c r="Q60" t="s">
        <v>26</v>
      </c>
      <c r="R60">
        <f t="shared" si="0"/>
        <v>213882</v>
      </c>
    </row>
    <row r="61" spans="2:18" x14ac:dyDescent="0.3">
      <c r="B61">
        <v>187930</v>
      </c>
      <c r="C61" t="s">
        <v>31</v>
      </c>
      <c r="D61" t="s">
        <v>17</v>
      </c>
      <c r="E61" t="s">
        <v>18</v>
      </c>
      <c r="F61" t="s">
        <v>32</v>
      </c>
      <c r="G61">
        <v>706</v>
      </c>
      <c r="H61" t="s">
        <v>19</v>
      </c>
      <c r="I61" t="s">
        <v>244</v>
      </c>
      <c r="J61" t="s">
        <v>245</v>
      </c>
      <c r="K61" t="s">
        <v>246</v>
      </c>
      <c r="L61" t="s">
        <v>247</v>
      </c>
      <c r="M61">
        <v>89.9</v>
      </c>
      <c r="N61" t="s">
        <v>24</v>
      </c>
      <c r="O61">
        <v>45341.368541018521</v>
      </c>
      <c r="P61" t="s">
        <v>25</v>
      </c>
      <c r="Q61" t="s">
        <v>26</v>
      </c>
      <c r="R61">
        <f t="shared" si="0"/>
        <v>63469.4</v>
      </c>
    </row>
    <row r="62" spans="2:18" x14ac:dyDescent="0.3">
      <c r="B62">
        <v>124088</v>
      </c>
      <c r="C62" t="s">
        <v>31</v>
      </c>
      <c r="D62" t="s">
        <v>32</v>
      </c>
      <c r="E62" t="s">
        <v>18</v>
      </c>
      <c r="F62" t="s">
        <v>32</v>
      </c>
      <c r="G62">
        <v>2065</v>
      </c>
      <c r="H62" t="s">
        <v>19</v>
      </c>
      <c r="I62" t="s">
        <v>248</v>
      </c>
      <c r="J62" t="s">
        <v>249</v>
      </c>
      <c r="K62" t="s">
        <v>250</v>
      </c>
      <c r="L62" t="s">
        <v>251</v>
      </c>
      <c r="M62">
        <v>79.900000000000006</v>
      </c>
      <c r="N62" t="s">
        <v>24</v>
      </c>
      <c r="O62">
        <v>45341.368548946761</v>
      </c>
      <c r="P62" t="s">
        <v>25</v>
      </c>
      <c r="Q62" t="s">
        <v>26</v>
      </c>
      <c r="R62">
        <f t="shared" si="0"/>
        <v>164993.5</v>
      </c>
    </row>
    <row r="63" spans="2:18" x14ac:dyDescent="0.3">
      <c r="B63">
        <v>190238</v>
      </c>
      <c r="C63" t="s">
        <v>49</v>
      </c>
      <c r="D63" t="s">
        <v>17</v>
      </c>
      <c r="E63" t="s">
        <v>18</v>
      </c>
      <c r="F63" t="s">
        <v>32</v>
      </c>
      <c r="G63">
        <v>1917</v>
      </c>
      <c r="H63" t="s">
        <v>19</v>
      </c>
      <c r="I63" t="s">
        <v>252</v>
      </c>
      <c r="J63" t="s">
        <v>253</v>
      </c>
      <c r="K63" t="s">
        <v>254</v>
      </c>
      <c r="L63" t="s">
        <v>255</v>
      </c>
      <c r="M63">
        <v>89.9</v>
      </c>
      <c r="N63" t="s">
        <v>24</v>
      </c>
      <c r="O63">
        <v>45341.368554016204</v>
      </c>
      <c r="P63" t="s">
        <v>25</v>
      </c>
      <c r="Q63" t="s">
        <v>26</v>
      </c>
      <c r="R63">
        <f t="shared" si="0"/>
        <v>172338.30000000002</v>
      </c>
    </row>
    <row r="64" spans="2:18" x14ac:dyDescent="0.3">
      <c r="B64">
        <v>151925</v>
      </c>
      <c r="C64" t="s">
        <v>31</v>
      </c>
      <c r="D64" t="s">
        <v>32</v>
      </c>
      <c r="E64" t="s">
        <v>18</v>
      </c>
      <c r="F64" t="s">
        <v>32</v>
      </c>
      <c r="G64">
        <v>2179</v>
      </c>
      <c r="H64" t="s">
        <v>19</v>
      </c>
      <c r="I64" t="s">
        <v>256</v>
      </c>
      <c r="J64" t="s">
        <v>257</v>
      </c>
      <c r="K64" t="s">
        <v>258</v>
      </c>
      <c r="L64" t="s">
        <v>259</v>
      </c>
      <c r="M64">
        <v>299</v>
      </c>
      <c r="N64" t="s">
        <v>24</v>
      </c>
      <c r="O64">
        <v>45341.368559525465</v>
      </c>
      <c r="P64" t="s">
        <v>25</v>
      </c>
      <c r="Q64" t="s">
        <v>26</v>
      </c>
      <c r="R64">
        <f t="shared" si="0"/>
        <v>651521</v>
      </c>
    </row>
    <row r="65" spans="2:18" x14ac:dyDescent="0.3">
      <c r="B65">
        <v>163234</v>
      </c>
      <c r="C65" t="s">
        <v>49</v>
      </c>
      <c r="D65" t="s">
        <v>17</v>
      </c>
      <c r="E65" t="s">
        <v>18</v>
      </c>
      <c r="F65" t="s">
        <v>17</v>
      </c>
      <c r="G65">
        <v>1633</v>
      </c>
      <c r="H65" t="s">
        <v>19</v>
      </c>
      <c r="I65" t="s">
        <v>260</v>
      </c>
      <c r="J65" t="s">
        <v>261</v>
      </c>
      <c r="K65" t="s">
        <v>262</v>
      </c>
      <c r="L65" t="s">
        <v>263</v>
      </c>
      <c r="M65">
        <v>89.9</v>
      </c>
      <c r="N65" t="s">
        <v>24</v>
      </c>
      <c r="O65">
        <v>45341.368566273151</v>
      </c>
      <c r="P65" t="s">
        <v>25</v>
      </c>
      <c r="Q65" t="s">
        <v>26</v>
      </c>
      <c r="R65">
        <f t="shared" si="0"/>
        <v>146806.70000000001</v>
      </c>
    </row>
    <row r="66" spans="2:18" x14ac:dyDescent="0.3">
      <c r="B66">
        <v>135610</v>
      </c>
      <c r="C66" t="s">
        <v>16</v>
      </c>
      <c r="D66" t="s">
        <v>32</v>
      </c>
      <c r="E66" t="s">
        <v>18</v>
      </c>
      <c r="F66" t="s">
        <v>32</v>
      </c>
      <c r="G66">
        <v>1513</v>
      </c>
      <c r="H66" t="s">
        <v>19</v>
      </c>
      <c r="I66" t="s">
        <v>264</v>
      </c>
      <c r="J66" t="s">
        <v>265</v>
      </c>
      <c r="K66" t="s">
        <v>266</v>
      </c>
      <c r="L66" t="s">
        <v>267</v>
      </c>
      <c r="M66">
        <v>109</v>
      </c>
      <c r="N66" t="s">
        <v>24</v>
      </c>
      <c r="O66">
        <v>45341.368576782406</v>
      </c>
      <c r="P66" t="s">
        <v>25</v>
      </c>
      <c r="Q66" t="s">
        <v>26</v>
      </c>
      <c r="R66">
        <f t="shared" si="0"/>
        <v>164917</v>
      </c>
    </row>
    <row r="67" spans="2:18" x14ac:dyDescent="0.3">
      <c r="B67">
        <v>117065</v>
      </c>
      <c r="C67" t="s">
        <v>16</v>
      </c>
      <c r="D67" t="s">
        <v>32</v>
      </c>
      <c r="E67" t="s">
        <v>18</v>
      </c>
      <c r="F67" t="s">
        <v>32</v>
      </c>
      <c r="G67">
        <v>758</v>
      </c>
      <c r="H67" t="s">
        <v>19</v>
      </c>
      <c r="I67" t="s">
        <v>268</v>
      </c>
      <c r="J67" t="s">
        <v>269</v>
      </c>
      <c r="K67" t="s">
        <v>270</v>
      </c>
      <c r="L67" t="s">
        <v>271</v>
      </c>
      <c r="M67">
        <v>109</v>
      </c>
      <c r="N67" t="s">
        <v>24</v>
      </c>
      <c r="O67">
        <v>45341.368585752316</v>
      </c>
      <c r="P67" t="s">
        <v>25</v>
      </c>
      <c r="Q67" t="s">
        <v>26</v>
      </c>
      <c r="R67">
        <f t="shared" si="0"/>
        <v>82622</v>
      </c>
    </row>
    <row r="68" spans="2:18" x14ac:dyDescent="0.3">
      <c r="B68">
        <v>149315</v>
      </c>
      <c r="C68" t="s">
        <v>31</v>
      </c>
      <c r="D68" t="s">
        <v>32</v>
      </c>
      <c r="E68" t="s">
        <v>18</v>
      </c>
      <c r="F68" t="s">
        <v>17</v>
      </c>
      <c r="G68">
        <v>718</v>
      </c>
      <c r="H68" t="s">
        <v>19</v>
      </c>
      <c r="I68" t="s">
        <v>272</v>
      </c>
      <c r="J68" t="s">
        <v>273</v>
      </c>
      <c r="K68" t="s">
        <v>274</v>
      </c>
      <c r="L68" t="s">
        <v>275</v>
      </c>
      <c r="M68">
        <v>109</v>
      </c>
      <c r="N68" t="s">
        <v>24</v>
      </c>
      <c r="O68">
        <v>45341.36859096065</v>
      </c>
      <c r="P68" t="s">
        <v>25</v>
      </c>
      <c r="Q68" t="s">
        <v>26</v>
      </c>
      <c r="R68">
        <f t="shared" ref="R68:R131" si="1">G68*M68</f>
        <v>78262</v>
      </c>
    </row>
    <row r="69" spans="2:18" x14ac:dyDescent="0.3">
      <c r="B69">
        <v>149510</v>
      </c>
      <c r="C69" t="s">
        <v>16</v>
      </c>
      <c r="D69" t="s">
        <v>17</v>
      </c>
      <c r="E69" t="s">
        <v>18</v>
      </c>
      <c r="F69" t="s">
        <v>32</v>
      </c>
      <c r="G69">
        <v>1412</v>
      </c>
      <c r="H69" t="s">
        <v>19</v>
      </c>
      <c r="I69" t="s">
        <v>276</v>
      </c>
      <c r="J69" t="s">
        <v>277</v>
      </c>
      <c r="K69" t="s">
        <v>278</v>
      </c>
      <c r="L69" t="s">
        <v>279</v>
      </c>
      <c r="M69">
        <v>59.9</v>
      </c>
      <c r="N69" t="s">
        <v>24</v>
      </c>
      <c r="O69">
        <v>45341.368602476854</v>
      </c>
      <c r="P69" t="s">
        <v>25</v>
      </c>
      <c r="Q69" t="s">
        <v>26</v>
      </c>
      <c r="R69">
        <f t="shared" si="1"/>
        <v>84578.8</v>
      </c>
    </row>
    <row r="70" spans="2:18" x14ac:dyDescent="0.3">
      <c r="B70">
        <v>137990</v>
      </c>
      <c r="C70" t="s">
        <v>16</v>
      </c>
      <c r="D70" t="s">
        <v>17</v>
      </c>
      <c r="E70" t="s">
        <v>18</v>
      </c>
      <c r="F70" t="s">
        <v>17</v>
      </c>
      <c r="G70">
        <v>2929</v>
      </c>
      <c r="H70" t="s">
        <v>19</v>
      </c>
      <c r="I70" t="s">
        <v>280</v>
      </c>
      <c r="J70" t="s">
        <v>281</v>
      </c>
      <c r="K70" t="s">
        <v>282</v>
      </c>
      <c r="L70" t="s">
        <v>283</v>
      </c>
      <c r="M70">
        <v>29.99</v>
      </c>
      <c r="N70" t="s">
        <v>24</v>
      </c>
      <c r="O70">
        <v>45341.368633564816</v>
      </c>
      <c r="P70" t="s">
        <v>25</v>
      </c>
      <c r="Q70" t="s">
        <v>26</v>
      </c>
      <c r="R70">
        <f t="shared" si="1"/>
        <v>87840.709999999992</v>
      </c>
    </row>
    <row r="71" spans="2:18" x14ac:dyDescent="0.3">
      <c r="B71">
        <v>154016</v>
      </c>
      <c r="C71" t="s">
        <v>31</v>
      </c>
      <c r="D71" t="s">
        <v>32</v>
      </c>
      <c r="E71" t="s">
        <v>18</v>
      </c>
      <c r="F71" t="s">
        <v>32</v>
      </c>
      <c r="G71">
        <v>2366</v>
      </c>
      <c r="H71" t="s">
        <v>19</v>
      </c>
      <c r="I71" t="s">
        <v>284</v>
      </c>
      <c r="J71" t="s">
        <v>285</v>
      </c>
      <c r="K71" t="s">
        <v>286</v>
      </c>
      <c r="L71" t="s">
        <v>287</v>
      </c>
      <c r="M71">
        <v>189</v>
      </c>
      <c r="N71" t="s">
        <v>24</v>
      </c>
      <c r="O71">
        <v>45341.368619120367</v>
      </c>
      <c r="P71" t="s">
        <v>25</v>
      </c>
      <c r="Q71" t="s">
        <v>26</v>
      </c>
      <c r="R71">
        <f t="shared" si="1"/>
        <v>447174</v>
      </c>
    </row>
    <row r="72" spans="2:18" x14ac:dyDescent="0.3">
      <c r="B72">
        <v>117751</v>
      </c>
      <c r="C72" t="s">
        <v>16</v>
      </c>
      <c r="D72" t="s">
        <v>17</v>
      </c>
      <c r="E72" t="s">
        <v>18</v>
      </c>
      <c r="F72" t="s">
        <v>17</v>
      </c>
      <c r="G72">
        <v>2749</v>
      </c>
      <c r="H72" t="s">
        <v>19</v>
      </c>
      <c r="I72" t="s">
        <v>288</v>
      </c>
      <c r="J72" t="s">
        <v>289</v>
      </c>
      <c r="K72" t="s">
        <v>290</v>
      </c>
      <c r="L72" t="s">
        <v>291</v>
      </c>
      <c r="M72">
        <v>89.9</v>
      </c>
      <c r="N72" t="s">
        <v>24</v>
      </c>
      <c r="O72">
        <v>45341.368648148149</v>
      </c>
      <c r="P72" t="s">
        <v>25</v>
      </c>
      <c r="Q72" t="s">
        <v>26</v>
      </c>
      <c r="R72">
        <f t="shared" si="1"/>
        <v>247135.1</v>
      </c>
    </row>
    <row r="73" spans="2:18" x14ac:dyDescent="0.3">
      <c r="B73">
        <v>182362</v>
      </c>
      <c r="C73" t="s">
        <v>49</v>
      </c>
      <c r="D73" t="s">
        <v>17</v>
      </c>
      <c r="E73" t="s">
        <v>18</v>
      </c>
      <c r="F73" t="s">
        <v>17</v>
      </c>
      <c r="G73">
        <v>2019</v>
      </c>
      <c r="H73" t="s">
        <v>19</v>
      </c>
      <c r="I73" t="s">
        <v>292</v>
      </c>
      <c r="J73" t="s">
        <v>293</v>
      </c>
      <c r="K73" t="s">
        <v>294</v>
      </c>
      <c r="L73" t="s">
        <v>295</v>
      </c>
      <c r="M73">
        <v>69.900000000000006</v>
      </c>
      <c r="N73" t="s">
        <v>24</v>
      </c>
      <c r="O73">
        <v>45341.368654062499</v>
      </c>
      <c r="P73" t="s">
        <v>25</v>
      </c>
      <c r="Q73" t="s">
        <v>26</v>
      </c>
      <c r="R73">
        <f t="shared" si="1"/>
        <v>141128.1</v>
      </c>
    </row>
    <row r="74" spans="2:18" x14ac:dyDescent="0.3">
      <c r="B74">
        <v>117725</v>
      </c>
      <c r="C74" t="s">
        <v>16</v>
      </c>
      <c r="D74" t="s">
        <v>17</v>
      </c>
      <c r="E74" t="s">
        <v>18</v>
      </c>
      <c r="F74" t="s">
        <v>32</v>
      </c>
      <c r="G74">
        <v>1506</v>
      </c>
      <c r="H74" t="s">
        <v>19</v>
      </c>
      <c r="I74" t="s">
        <v>296</v>
      </c>
      <c r="J74" t="s">
        <v>297</v>
      </c>
      <c r="K74" t="s">
        <v>298</v>
      </c>
      <c r="L74" t="s">
        <v>299</v>
      </c>
      <c r="M74">
        <v>109</v>
      </c>
      <c r="N74" t="s">
        <v>24</v>
      </c>
      <c r="O74">
        <v>45341.368659791668</v>
      </c>
      <c r="P74" t="s">
        <v>25</v>
      </c>
      <c r="Q74" t="s">
        <v>26</v>
      </c>
      <c r="R74">
        <f t="shared" si="1"/>
        <v>164154</v>
      </c>
    </row>
    <row r="75" spans="2:18" x14ac:dyDescent="0.3">
      <c r="B75">
        <v>145289</v>
      </c>
      <c r="C75" t="s">
        <v>31</v>
      </c>
      <c r="D75" t="s">
        <v>17</v>
      </c>
      <c r="E75" t="s">
        <v>18</v>
      </c>
      <c r="F75" t="s">
        <v>17</v>
      </c>
      <c r="G75">
        <v>1012</v>
      </c>
      <c r="H75" t="s">
        <v>19</v>
      </c>
      <c r="I75" t="s">
        <v>300</v>
      </c>
      <c r="J75" t="s">
        <v>301</v>
      </c>
      <c r="K75" t="s">
        <v>302</v>
      </c>
      <c r="L75" t="s">
        <v>303</v>
      </c>
      <c r="M75">
        <v>109</v>
      </c>
      <c r="N75" t="s">
        <v>24</v>
      </c>
      <c r="O75">
        <v>45341.368665879629</v>
      </c>
      <c r="P75" t="s">
        <v>25</v>
      </c>
      <c r="Q75" t="s">
        <v>26</v>
      </c>
      <c r="R75">
        <f t="shared" si="1"/>
        <v>110308</v>
      </c>
    </row>
    <row r="76" spans="2:18" x14ac:dyDescent="0.3">
      <c r="B76">
        <v>173576</v>
      </c>
      <c r="C76" t="s">
        <v>31</v>
      </c>
      <c r="D76" t="s">
        <v>32</v>
      </c>
      <c r="E76" t="s">
        <v>18</v>
      </c>
      <c r="F76" t="s">
        <v>17</v>
      </c>
      <c r="G76">
        <v>1838</v>
      </c>
      <c r="H76" t="s">
        <v>19</v>
      </c>
      <c r="I76" t="s">
        <v>304</v>
      </c>
      <c r="J76" t="s">
        <v>305</v>
      </c>
      <c r="K76" t="s">
        <v>259</v>
      </c>
      <c r="L76" t="s">
        <v>259</v>
      </c>
      <c r="M76">
        <v>129</v>
      </c>
      <c r="N76" t="s">
        <v>24</v>
      </c>
      <c r="O76">
        <v>45341.368686064816</v>
      </c>
      <c r="P76" t="s">
        <v>25</v>
      </c>
      <c r="Q76" t="s">
        <v>26</v>
      </c>
      <c r="R76">
        <f t="shared" si="1"/>
        <v>237102</v>
      </c>
    </row>
    <row r="77" spans="2:18" x14ac:dyDescent="0.3">
      <c r="B77">
        <v>175059</v>
      </c>
      <c r="C77" t="s">
        <v>16</v>
      </c>
      <c r="D77" t="s">
        <v>32</v>
      </c>
      <c r="E77" t="s">
        <v>18</v>
      </c>
      <c r="F77" t="s">
        <v>17</v>
      </c>
      <c r="G77">
        <v>2170</v>
      </c>
      <c r="H77" t="s">
        <v>19</v>
      </c>
      <c r="I77" t="s">
        <v>306</v>
      </c>
      <c r="J77" t="s">
        <v>307</v>
      </c>
      <c r="K77" t="s">
        <v>119</v>
      </c>
      <c r="L77" t="s">
        <v>120</v>
      </c>
      <c r="M77">
        <v>49.9</v>
      </c>
      <c r="N77" t="s">
        <v>24</v>
      </c>
      <c r="O77">
        <v>45341.368691284719</v>
      </c>
      <c r="P77" t="s">
        <v>25</v>
      </c>
      <c r="Q77" t="s">
        <v>26</v>
      </c>
      <c r="R77">
        <f t="shared" si="1"/>
        <v>108283</v>
      </c>
    </row>
    <row r="78" spans="2:18" x14ac:dyDescent="0.3">
      <c r="B78">
        <v>199368</v>
      </c>
      <c r="C78" t="s">
        <v>49</v>
      </c>
      <c r="D78" t="s">
        <v>17</v>
      </c>
      <c r="E78" t="s">
        <v>18</v>
      </c>
      <c r="F78" t="s">
        <v>32</v>
      </c>
      <c r="G78">
        <v>1061</v>
      </c>
      <c r="H78" t="s">
        <v>19</v>
      </c>
      <c r="I78" t="s">
        <v>308</v>
      </c>
      <c r="J78" t="s">
        <v>309</v>
      </c>
      <c r="K78" t="s">
        <v>266</v>
      </c>
      <c r="L78" t="s">
        <v>310</v>
      </c>
      <c r="M78">
        <v>139</v>
      </c>
      <c r="N78" t="s">
        <v>24</v>
      </c>
      <c r="O78">
        <v>45341.368697395832</v>
      </c>
      <c r="P78" t="s">
        <v>25</v>
      </c>
      <c r="Q78" t="s">
        <v>26</v>
      </c>
      <c r="R78">
        <f t="shared" si="1"/>
        <v>147479</v>
      </c>
    </row>
    <row r="79" spans="2:18" x14ac:dyDescent="0.3">
      <c r="B79">
        <v>162883</v>
      </c>
      <c r="C79" t="s">
        <v>49</v>
      </c>
      <c r="D79" t="s">
        <v>32</v>
      </c>
      <c r="E79" t="s">
        <v>18</v>
      </c>
      <c r="F79" t="s">
        <v>17</v>
      </c>
      <c r="G79">
        <v>786</v>
      </c>
      <c r="H79" t="s">
        <v>19</v>
      </c>
      <c r="I79" t="s">
        <v>311</v>
      </c>
      <c r="J79" t="s">
        <v>312</v>
      </c>
      <c r="K79" t="s">
        <v>313</v>
      </c>
      <c r="L79" t="s">
        <v>314</v>
      </c>
      <c r="M79">
        <v>139</v>
      </c>
      <c r="N79" t="s">
        <v>24</v>
      </c>
      <c r="O79">
        <v>45341.368702523148</v>
      </c>
      <c r="P79" t="s">
        <v>25</v>
      </c>
      <c r="Q79" t="s">
        <v>26</v>
      </c>
      <c r="R79">
        <f t="shared" si="1"/>
        <v>109254</v>
      </c>
    </row>
    <row r="80" spans="2:18" x14ac:dyDescent="0.3">
      <c r="B80">
        <v>135490</v>
      </c>
      <c r="C80" t="s">
        <v>49</v>
      </c>
      <c r="D80" t="s">
        <v>17</v>
      </c>
      <c r="E80" t="s">
        <v>18</v>
      </c>
      <c r="F80" t="s">
        <v>17</v>
      </c>
      <c r="G80">
        <v>1094</v>
      </c>
      <c r="H80" t="s">
        <v>19</v>
      </c>
      <c r="I80" t="s">
        <v>315</v>
      </c>
      <c r="J80" t="s">
        <v>316</v>
      </c>
      <c r="K80" t="s">
        <v>317</v>
      </c>
      <c r="L80" t="s">
        <v>318</v>
      </c>
      <c r="M80">
        <v>139</v>
      </c>
      <c r="N80" t="s">
        <v>24</v>
      </c>
      <c r="O80">
        <v>45341.368707743059</v>
      </c>
      <c r="P80" t="s">
        <v>25</v>
      </c>
      <c r="Q80" t="s">
        <v>26</v>
      </c>
      <c r="R80">
        <f t="shared" si="1"/>
        <v>152066</v>
      </c>
    </row>
    <row r="81" spans="2:18" x14ac:dyDescent="0.3">
      <c r="B81">
        <v>125408</v>
      </c>
      <c r="C81" t="s">
        <v>31</v>
      </c>
      <c r="D81" t="s">
        <v>32</v>
      </c>
      <c r="E81" t="s">
        <v>18</v>
      </c>
      <c r="F81" t="s">
        <v>32</v>
      </c>
      <c r="G81">
        <v>2220</v>
      </c>
      <c r="H81" t="s">
        <v>19</v>
      </c>
      <c r="I81" t="s">
        <v>319</v>
      </c>
      <c r="J81" t="s">
        <v>320</v>
      </c>
      <c r="K81" t="s">
        <v>147</v>
      </c>
      <c r="L81" t="s">
        <v>148</v>
      </c>
      <c r="M81">
        <v>89.9</v>
      </c>
      <c r="N81" t="s">
        <v>24</v>
      </c>
      <c r="O81">
        <v>45341.368712777781</v>
      </c>
      <c r="P81" t="s">
        <v>25</v>
      </c>
      <c r="Q81" t="s">
        <v>26</v>
      </c>
      <c r="R81">
        <f t="shared" si="1"/>
        <v>199578</v>
      </c>
    </row>
    <row r="82" spans="2:18" x14ac:dyDescent="0.3">
      <c r="B82">
        <v>134763</v>
      </c>
      <c r="C82" t="s">
        <v>49</v>
      </c>
      <c r="D82" t="s">
        <v>17</v>
      </c>
      <c r="E82" t="s">
        <v>18</v>
      </c>
      <c r="F82" t="s">
        <v>32</v>
      </c>
      <c r="G82">
        <v>2048</v>
      </c>
      <c r="H82" t="s">
        <v>19</v>
      </c>
      <c r="I82" t="s">
        <v>321</v>
      </c>
      <c r="J82" t="s">
        <v>322</v>
      </c>
      <c r="K82" t="s">
        <v>323</v>
      </c>
      <c r="L82" t="s">
        <v>324</v>
      </c>
      <c r="M82">
        <v>89.9</v>
      </c>
      <c r="N82" t="s">
        <v>24</v>
      </c>
      <c r="O82">
        <v>45341.368722060186</v>
      </c>
      <c r="P82" t="s">
        <v>25</v>
      </c>
      <c r="Q82" t="s">
        <v>26</v>
      </c>
      <c r="R82">
        <f t="shared" si="1"/>
        <v>184115.20000000001</v>
      </c>
    </row>
    <row r="83" spans="2:18" x14ac:dyDescent="0.3">
      <c r="B83">
        <v>143231</v>
      </c>
      <c r="C83" t="s">
        <v>16</v>
      </c>
      <c r="D83" t="s">
        <v>17</v>
      </c>
      <c r="E83" t="s">
        <v>18</v>
      </c>
      <c r="F83" t="s">
        <v>17</v>
      </c>
      <c r="G83">
        <v>2578</v>
      </c>
      <c r="H83" t="s">
        <v>19</v>
      </c>
      <c r="I83" t="s">
        <v>325</v>
      </c>
      <c r="J83" t="s">
        <v>326</v>
      </c>
      <c r="K83" t="s">
        <v>313</v>
      </c>
      <c r="L83" t="s">
        <v>327</v>
      </c>
      <c r="M83">
        <v>89.9</v>
      </c>
      <c r="N83" t="s">
        <v>24</v>
      </c>
      <c r="O83">
        <v>45341.368727604167</v>
      </c>
      <c r="P83" t="s">
        <v>25</v>
      </c>
      <c r="Q83" t="s">
        <v>26</v>
      </c>
      <c r="R83">
        <f t="shared" si="1"/>
        <v>231762.2</v>
      </c>
    </row>
    <row r="84" spans="2:18" x14ac:dyDescent="0.3">
      <c r="B84">
        <v>125409</v>
      </c>
      <c r="C84" t="s">
        <v>31</v>
      </c>
      <c r="D84" t="s">
        <v>32</v>
      </c>
      <c r="E84" t="s">
        <v>18</v>
      </c>
      <c r="F84" t="s">
        <v>17</v>
      </c>
      <c r="G84">
        <v>2040</v>
      </c>
      <c r="H84" t="s">
        <v>19</v>
      </c>
      <c r="I84" t="s">
        <v>328</v>
      </c>
      <c r="J84" t="s">
        <v>329</v>
      </c>
      <c r="K84" t="s">
        <v>330</v>
      </c>
      <c r="L84" t="s">
        <v>331</v>
      </c>
      <c r="M84">
        <v>89.9</v>
      </c>
      <c r="N84" t="s">
        <v>24</v>
      </c>
      <c r="O84">
        <v>45341.368733530093</v>
      </c>
      <c r="P84" t="s">
        <v>25</v>
      </c>
      <c r="Q84" t="s">
        <v>26</v>
      </c>
      <c r="R84">
        <f t="shared" si="1"/>
        <v>183396</v>
      </c>
    </row>
    <row r="85" spans="2:18" x14ac:dyDescent="0.3">
      <c r="B85">
        <v>183074</v>
      </c>
      <c r="C85" t="s">
        <v>16</v>
      </c>
      <c r="D85" t="s">
        <v>17</v>
      </c>
      <c r="E85" t="s">
        <v>18</v>
      </c>
      <c r="F85" t="s">
        <v>17</v>
      </c>
      <c r="G85">
        <v>2791</v>
      </c>
      <c r="H85" t="s">
        <v>19</v>
      </c>
      <c r="I85" t="s">
        <v>332</v>
      </c>
      <c r="J85" t="s">
        <v>333</v>
      </c>
      <c r="K85" t="s">
        <v>334</v>
      </c>
      <c r="L85" t="s">
        <v>335</v>
      </c>
      <c r="M85">
        <v>89.9</v>
      </c>
      <c r="N85" t="s">
        <v>24</v>
      </c>
      <c r="O85">
        <v>45341.368738483798</v>
      </c>
      <c r="P85" t="s">
        <v>25</v>
      </c>
      <c r="Q85" t="s">
        <v>26</v>
      </c>
      <c r="R85">
        <f t="shared" si="1"/>
        <v>250910.90000000002</v>
      </c>
    </row>
    <row r="86" spans="2:18" x14ac:dyDescent="0.3">
      <c r="B86">
        <v>147947</v>
      </c>
      <c r="C86" t="s">
        <v>16</v>
      </c>
      <c r="D86" t="s">
        <v>32</v>
      </c>
      <c r="E86" t="s">
        <v>18</v>
      </c>
      <c r="F86" t="s">
        <v>32</v>
      </c>
      <c r="G86">
        <v>1249</v>
      </c>
      <c r="H86" t="s">
        <v>19</v>
      </c>
      <c r="I86" t="s">
        <v>336</v>
      </c>
      <c r="J86" t="s">
        <v>337</v>
      </c>
      <c r="K86" t="s">
        <v>338</v>
      </c>
      <c r="L86" t="s">
        <v>339</v>
      </c>
      <c r="M86">
        <v>89.9</v>
      </c>
      <c r="N86" t="s">
        <v>24</v>
      </c>
      <c r="O86">
        <v>45341.36874435185</v>
      </c>
      <c r="P86" t="s">
        <v>25</v>
      </c>
      <c r="Q86" t="s">
        <v>26</v>
      </c>
      <c r="R86">
        <f t="shared" si="1"/>
        <v>112285.1</v>
      </c>
    </row>
    <row r="87" spans="2:18" x14ac:dyDescent="0.3">
      <c r="B87">
        <v>174171</v>
      </c>
      <c r="C87" t="s">
        <v>49</v>
      </c>
      <c r="D87" t="s">
        <v>32</v>
      </c>
      <c r="E87" t="s">
        <v>18</v>
      </c>
      <c r="F87" t="s">
        <v>32</v>
      </c>
      <c r="G87">
        <v>2273</v>
      </c>
      <c r="H87" t="s">
        <v>19</v>
      </c>
      <c r="I87" t="s">
        <v>340</v>
      </c>
      <c r="J87" t="s">
        <v>341</v>
      </c>
      <c r="K87" t="s">
        <v>342</v>
      </c>
      <c r="L87" t="s">
        <v>343</v>
      </c>
      <c r="M87">
        <v>89.9</v>
      </c>
      <c r="N87" t="s">
        <v>24</v>
      </c>
      <c r="O87">
        <v>45341.368749062502</v>
      </c>
      <c r="P87" t="s">
        <v>25</v>
      </c>
      <c r="Q87" t="s">
        <v>26</v>
      </c>
      <c r="R87">
        <f t="shared" si="1"/>
        <v>204342.7</v>
      </c>
    </row>
    <row r="88" spans="2:18" x14ac:dyDescent="0.3">
      <c r="B88">
        <v>183064</v>
      </c>
      <c r="C88" t="s">
        <v>49</v>
      </c>
      <c r="D88" t="s">
        <v>32</v>
      </c>
      <c r="E88" t="s">
        <v>18</v>
      </c>
      <c r="F88" t="s">
        <v>17</v>
      </c>
      <c r="G88">
        <v>1773</v>
      </c>
      <c r="H88" t="s">
        <v>19</v>
      </c>
      <c r="I88" t="s">
        <v>344</v>
      </c>
      <c r="J88" t="s">
        <v>345</v>
      </c>
      <c r="K88" t="s">
        <v>346</v>
      </c>
      <c r="L88" t="s">
        <v>347</v>
      </c>
      <c r="M88">
        <v>89.9</v>
      </c>
      <c r="N88" t="s">
        <v>24</v>
      </c>
      <c r="O88">
        <v>45341.368755150463</v>
      </c>
      <c r="P88" t="s">
        <v>25</v>
      </c>
      <c r="Q88" t="s">
        <v>26</v>
      </c>
      <c r="R88">
        <f t="shared" si="1"/>
        <v>159392.70000000001</v>
      </c>
    </row>
    <row r="89" spans="2:18" x14ac:dyDescent="0.3">
      <c r="B89">
        <v>177131</v>
      </c>
      <c r="C89" t="s">
        <v>16</v>
      </c>
      <c r="D89" t="s">
        <v>32</v>
      </c>
      <c r="E89" t="s">
        <v>18</v>
      </c>
      <c r="F89" t="s">
        <v>32</v>
      </c>
      <c r="G89">
        <v>1733</v>
      </c>
      <c r="H89" t="s">
        <v>19</v>
      </c>
      <c r="I89" t="s">
        <v>348</v>
      </c>
      <c r="J89" t="s">
        <v>349</v>
      </c>
      <c r="K89" t="s">
        <v>350</v>
      </c>
      <c r="L89" t="s">
        <v>351</v>
      </c>
      <c r="M89">
        <v>69.900000000000006</v>
      </c>
      <c r="N89" t="s">
        <v>24</v>
      </c>
      <c r="O89">
        <v>45341.368760520832</v>
      </c>
      <c r="P89" t="s">
        <v>25</v>
      </c>
      <c r="Q89" t="s">
        <v>26</v>
      </c>
      <c r="R89">
        <f t="shared" si="1"/>
        <v>121136.70000000001</v>
      </c>
    </row>
    <row r="90" spans="2:18" x14ac:dyDescent="0.3">
      <c r="B90">
        <v>128179</v>
      </c>
      <c r="C90" t="s">
        <v>31</v>
      </c>
      <c r="D90" t="s">
        <v>32</v>
      </c>
      <c r="E90" t="s">
        <v>18</v>
      </c>
      <c r="F90" t="s">
        <v>17</v>
      </c>
      <c r="G90">
        <v>2060</v>
      </c>
      <c r="H90" t="s">
        <v>19</v>
      </c>
      <c r="I90" t="s">
        <v>352</v>
      </c>
      <c r="J90" t="s">
        <v>353</v>
      </c>
      <c r="K90" t="s">
        <v>354</v>
      </c>
      <c r="L90" t="s">
        <v>355</v>
      </c>
      <c r="M90">
        <v>89.9</v>
      </c>
      <c r="N90" t="s">
        <v>24</v>
      </c>
      <c r="O90">
        <v>45341.368789074077</v>
      </c>
      <c r="P90" t="s">
        <v>25</v>
      </c>
      <c r="Q90" t="s">
        <v>26</v>
      </c>
      <c r="R90">
        <f t="shared" si="1"/>
        <v>185194</v>
      </c>
    </row>
    <row r="91" spans="2:18" x14ac:dyDescent="0.3">
      <c r="B91">
        <v>152723</v>
      </c>
      <c r="C91" t="s">
        <v>16</v>
      </c>
      <c r="D91" t="s">
        <v>17</v>
      </c>
      <c r="E91" t="s">
        <v>18</v>
      </c>
      <c r="F91" t="s">
        <v>32</v>
      </c>
      <c r="G91">
        <v>2849</v>
      </c>
      <c r="H91" t="s">
        <v>19</v>
      </c>
      <c r="I91" t="s">
        <v>356</v>
      </c>
      <c r="J91" t="s">
        <v>357</v>
      </c>
      <c r="K91" t="s">
        <v>358</v>
      </c>
      <c r="L91" t="s">
        <v>359</v>
      </c>
      <c r="M91">
        <v>169</v>
      </c>
      <c r="N91" t="s">
        <v>24</v>
      </c>
      <c r="O91">
        <v>45341.36879601852</v>
      </c>
      <c r="P91" t="s">
        <v>25</v>
      </c>
      <c r="Q91" t="s">
        <v>26</v>
      </c>
      <c r="R91">
        <f t="shared" si="1"/>
        <v>481481</v>
      </c>
    </row>
    <row r="92" spans="2:18" x14ac:dyDescent="0.3">
      <c r="B92">
        <v>123824</v>
      </c>
      <c r="C92" t="s">
        <v>16</v>
      </c>
      <c r="D92" t="s">
        <v>32</v>
      </c>
      <c r="E92" t="s">
        <v>18</v>
      </c>
      <c r="F92" t="s">
        <v>17</v>
      </c>
      <c r="G92">
        <v>2277</v>
      </c>
      <c r="H92" t="s">
        <v>19</v>
      </c>
      <c r="I92" t="s">
        <v>360</v>
      </c>
      <c r="J92" t="s">
        <v>361</v>
      </c>
      <c r="K92" t="s">
        <v>362</v>
      </c>
      <c r="L92" t="s">
        <v>363</v>
      </c>
      <c r="M92">
        <v>169</v>
      </c>
      <c r="N92" t="s">
        <v>24</v>
      </c>
      <c r="O92">
        <v>45341.368800706019</v>
      </c>
      <c r="P92" t="s">
        <v>25</v>
      </c>
      <c r="Q92" t="s">
        <v>26</v>
      </c>
      <c r="R92">
        <f t="shared" si="1"/>
        <v>384813</v>
      </c>
    </row>
    <row r="93" spans="2:18" x14ac:dyDescent="0.3">
      <c r="B93">
        <v>166345</v>
      </c>
      <c r="C93" t="s">
        <v>16</v>
      </c>
      <c r="D93" t="s">
        <v>17</v>
      </c>
      <c r="E93" t="s">
        <v>18</v>
      </c>
      <c r="F93" t="s">
        <v>32</v>
      </c>
      <c r="G93">
        <v>1135</v>
      </c>
      <c r="H93" t="s">
        <v>19</v>
      </c>
      <c r="I93" t="s">
        <v>364</v>
      </c>
      <c r="J93" t="s">
        <v>365</v>
      </c>
      <c r="K93" t="s">
        <v>366</v>
      </c>
      <c r="L93" t="s">
        <v>367</v>
      </c>
      <c r="M93">
        <v>69.900000000000006</v>
      </c>
      <c r="N93" t="s">
        <v>24</v>
      </c>
      <c r="O93">
        <v>45341.368805925929</v>
      </c>
      <c r="P93" t="s">
        <v>25</v>
      </c>
      <c r="Q93" t="s">
        <v>26</v>
      </c>
      <c r="R93">
        <f t="shared" si="1"/>
        <v>79336.5</v>
      </c>
    </row>
    <row r="94" spans="2:18" x14ac:dyDescent="0.3">
      <c r="B94">
        <v>199279</v>
      </c>
      <c r="C94" t="s">
        <v>16</v>
      </c>
      <c r="D94" t="s">
        <v>17</v>
      </c>
      <c r="E94" t="s">
        <v>18</v>
      </c>
      <c r="F94" t="s">
        <v>17</v>
      </c>
      <c r="G94">
        <v>1770</v>
      </c>
      <c r="H94" t="s">
        <v>19</v>
      </c>
      <c r="I94" t="s">
        <v>368</v>
      </c>
      <c r="J94" t="s">
        <v>369</v>
      </c>
      <c r="K94" t="s">
        <v>370</v>
      </c>
      <c r="L94" t="s">
        <v>371</v>
      </c>
      <c r="M94">
        <v>19.989999999999998</v>
      </c>
      <c r="N94" t="s">
        <v>24</v>
      </c>
      <c r="O94">
        <v>45341.368811354165</v>
      </c>
      <c r="P94" t="s">
        <v>25</v>
      </c>
      <c r="Q94" t="s">
        <v>26</v>
      </c>
      <c r="R94">
        <f t="shared" si="1"/>
        <v>35382.299999999996</v>
      </c>
    </row>
    <row r="95" spans="2:18" x14ac:dyDescent="0.3">
      <c r="B95">
        <v>167981</v>
      </c>
      <c r="C95" t="s">
        <v>31</v>
      </c>
      <c r="D95" t="s">
        <v>17</v>
      </c>
      <c r="E95" t="s">
        <v>18</v>
      </c>
      <c r="F95" t="s">
        <v>17</v>
      </c>
      <c r="G95">
        <v>730</v>
      </c>
      <c r="H95" t="s">
        <v>19</v>
      </c>
      <c r="I95" t="s">
        <v>372</v>
      </c>
      <c r="J95" t="s">
        <v>373</v>
      </c>
      <c r="K95" t="s">
        <v>374</v>
      </c>
      <c r="L95" t="s">
        <v>375</v>
      </c>
      <c r="M95">
        <v>139</v>
      </c>
      <c r="N95" t="s">
        <v>24</v>
      </c>
      <c r="O95">
        <v>45341.36881630787</v>
      </c>
      <c r="P95" t="s">
        <v>25</v>
      </c>
      <c r="Q95" t="s">
        <v>26</v>
      </c>
      <c r="R95">
        <f t="shared" si="1"/>
        <v>101470</v>
      </c>
    </row>
    <row r="96" spans="2:18" x14ac:dyDescent="0.3">
      <c r="B96">
        <v>146839</v>
      </c>
      <c r="C96" t="s">
        <v>16</v>
      </c>
      <c r="D96" t="s">
        <v>17</v>
      </c>
      <c r="E96" t="s">
        <v>18</v>
      </c>
      <c r="F96" t="s">
        <v>17</v>
      </c>
      <c r="G96">
        <v>1525</v>
      </c>
      <c r="H96" t="s">
        <v>19</v>
      </c>
      <c r="I96" t="s">
        <v>376</v>
      </c>
      <c r="J96" t="s">
        <v>377</v>
      </c>
      <c r="K96" t="s">
        <v>164</v>
      </c>
      <c r="L96" t="s">
        <v>378</v>
      </c>
      <c r="M96">
        <v>109</v>
      </c>
      <c r="N96" t="s">
        <v>24</v>
      </c>
      <c r="O96">
        <v>45341.368822233795</v>
      </c>
      <c r="P96" t="s">
        <v>25</v>
      </c>
      <c r="Q96" t="s">
        <v>26</v>
      </c>
      <c r="R96">
        <f t="shared" si="1"/>
        <v>166225</v>
      </c>
    </row>
    <row r="97" spans="2:18" x14ac:dyDescent="0.3">
      <c r="B97">
        <v>187180</v>
      </c>
      <c r="C97" t="s">
        <v>49</v>
      </c>
      <c r="D97" t="s">
        <v>17</v>
      </c>
      <c r="E97" t="s">
        <v>18</v>
      </c>
      <c r="F97" t="s">
        <v>32</v>
      </c>
      <c r="G97">
        <v>647</v>
      </c>
      <c r="H97" t="s">
        <v>19</v>
      </c>
      <c r="I97" t="s">
        <v>379</v>
      </c>
      <c r="J97" t="s">
        <v>380</v>
      </c>
      <c r="K97" t="s">
        <v>370</v>
      </c>
      <c r="L97" t="s">
        <v>381</v>
      </c>
      <c r="M97">
        <v>109</v>
      </c>
      <c r="N97" t="s">
        <v>24</v>
      </c>
      <c r="O97">
        <v>45341.368827627317</v>
      </c>
      <c r="P97" t="s">
        <v>25</v>
      </c>
      <c r="Q97" t="s">
        <v>26</v>
      </c>
      <c r="R97">
        <f t="shared" si="1"/>
        <v>70523</v>
      </c>
    </row>
    <row r="98" spans="2:18" x14ac:dyDescent="0.3">
      <c r="B98">
        <v>167640</v>
      </c>
      <c r="C98" t="s">
        <v>31</v>
      </c>
      <c r="D98" t="s">
        <v>32</v>
      </c>
      <c r="E98" t="s">
        <v>18</v>
      </c>
      <c r="F98" t="s">
        <v>32</v>
      </c>
      <c r="G98">
        <v>1017</v>
      </c>
      <c r="H98" t="s">
        <v>19</v>
      </c>
      <c r="I98" t="s">
        <v>382</v>
      </c>
      <c r="J98" t="s">
        <v>383</v>
      </c>
      <c r="K98" t="s">
        <v>370</v>
      </c>
      <c r="L98" t="s">
        <v>384</v>
      </c>
      <c r="M98">
        <v>109</v>
      </c>
      <c r="N98" t="s">
        <v>24</v>
      </c>
      <c r="O98">
        <v>45341.368832442131</v>
      </c>
      <c r="P98" t="s">
        <v>25</v>
      </c>
      <c r="Q98" t="s">
        <v>26</v>
      </c>
      <c r="R98">
        <f t="shared" si="1"/>
        <v>110853</v>
      </c>
    </row>
    <row r="99" spans="2:18" x14ac:dyDescent="0.3">
      <c r="B99">
        <v>165158</v>
      </c>
      <c r="C99" t="s">
        <v>49</v>
      </c>
      <c r="D99" t="s">
        <v>17</v>
      </c>
      <c r="E99" t="s">
        <v>18</v>
      </c>
      <c r="F99" t="s">
        <v>17</v>
      </c>
      <c r="G99">
        <v>1622</v>
      </c>
      <c r="H99" t="s">
        <v>19</v>
      </c>
      <c r="I99" t="s">
        <v>385</v>
      </c>
      <c r="J99" t="s">
        <v>386</v>
      </c>
      <c r="K99" t="s">
        <v>387</v>
      </c>
      <c r="L99" t="s">
        <v>388</v>
      </c>
      <c r="M99">
        <v>109</v>
      </c>
      <c r="N99" t="s">
        <v>24</v>
      </c>
      <c r="O99">
        <v>45341.368837662034</v>
      </c>
      <c r="P99" t="s">
        <v>25</v>
      </c>
      <c r="Q99" t="s">
        <v>26</v>
      </c>
      <c r="R99">
        <f t="shared" si="1"/>
        <v>176798</v>
      </c>
    </row>
    <row r="100" spans="2:18" x14ac:dyDescent="0.3">
      <c r="B100">
        <v>111521</v>
      </c>
      <c r="C100" t="s">
        <v>49</v>
      </c>
      <c r="D100" t="s">
        <v>32</v>
      </c>
      <c r="E100" t="s">
        <v>18</v>
      </c>
      <c r="F100" t="s">
        <v>32</v>
      </c>
      <c r="G100">
        <v>2553</v>
      </c>
      <c r="H100" t="s">
        <v>19</v>
      </c>
      <c r="I100" t="s">
        <v>389</v>
      </c>
      <c r="J100" t="s">
        <v>390</v>
      </c>
      <c r="K100" t="s">
        <v>391</v>
      </c>
      <c r="L100" t="s">
        <v>392</v>
      </c>
      <c r="M100">
        <v>99.9</v>
      </c>
      <c r="N100" t="s">
        <v>24</v>
      </c>
      <c r="O100">
        <v>45341.368842986114</v>
      </c>
      <c r="P100" t="s">
        <v>25</v>
      </c>
      <c r="Q100" t="s">
        <v>26</v>
      </c>
      <c r="R100">
        <f t="shared" si="1"/>
        <v>255044.7</v>
      </c>
    </row>
    <row r="101" spans="2:18" x14ac:dyDescent="0.3">
      <c r="B101">
        <v>120228</v>
      </c>
      <c r="C101" t="s">
        <v>31</v>
      </c>
      <c r="D101" t="s">
        <v>17</v>
      </c>
      <c r="E101" t="s">
        <v>18</v>
      </c>
      <c r="F101" t="s">
        <v>17</v>
      </c>
      <c r="G101">
        <v>2347</v>
      </c>
      <c r="H101" t="s">
        <v>19</v>
      </c>
      <c r="I101" t="s">
        <v>393</v>
      </c>
      <c r="J101" t="s">
        <v>394</v>
      </c>
      <c r="K101" t="s">
        <v>64</v>
      </c>
      <c r="L101" t="s">
        <v>395</v>
      </c>
      <c r="M101">
        <v>89.9</v>
      </c>
      <c r="N101" t="s">
        <v>24</v>
      </c>
      <c r="O101">
        <v>45341.368855034721</v>
      </c>
      <c r="P101" t="s">
        <v>25</v>
      </c>
      <c r="Q101" t="s">
        <v>26</v>
      </c>
      <c r="R101">
        <f t="shared" si="1"/>
        <v>210995.30000000002</v>
      </c>
    </row>
    <row r="102" spans="2:18" x14ac:dyDescent="0.3">
      <c r="B102">
        <v>133078</v>
      </c>
      <c r="C102" t="s">
        <v>16</v>
      </c>
      <c r="D102" t="s">
        <v>17</v>
      </c>
      <c r="E102" t="s">
        <v>18</v>
      </c>
      <c r="F102" t="s">
        <v>32</v>
      </c>
      <c r="G102">
        <v>2535</v>
      </c>
      <c r="H102" t="s">
        <v>19</v>
      </c>
      <c r="I102" t="s">
        <v>396</v>
      </c>
      <c r="J102" t="s">
        <v>397</v>
      </c>
      <c r="K102" t="s">
        <v>323</v>
      </c>
      <c r="L102" t="s">
        <v>398</v>
      </c>
      <c r="M102">
        <v>69.900000000000006</v>
      </c>
      <c r="N102" t="s">
        <v>24</v>
      </c>
      <c r="O102">
        <v>45341.368862164352</v>
      </c>
      <c r="P102" t="s">
        <v>25</v>
      </c>
      <c r="Q102" t="s">
        <v>26</v>
      </c>
      <c r="R102">
        <f t="shared" si="1"/>
        <v>177196.5</v>
      </c>
    </row>
    <row r="103" spans="2:18" x14ac:dyDescent="0.3">
      <c r="B103">
        <v>137598</v>
      </c>
      <c r="C103" t="s">
        <v>16</v>
      </c>
      <c r="D103" t="s">
        <v>17</v>
      </c>
      <c r="E103" t="s">
        <v>18</v>
      </c>
      <c r="F103" t="s">
        <v>32</v>
      </c>
      <c r="G103">
        <v>2839</v>
      </c>
      <c r="H103" t="s">
        <v>19</v>
      </c>
      <c r="I103" t="s">
        <v>399</v>
      </c>
      <c r="J103" t="s">
        <v>400</v>
      </c>
      <c r="K103" t="s">
        <v>242</v>
      </c>
      <c r="L103" t="s">
        <v>401</v>
      </c>
      <c r="M103">
        <v>139</v>
      </c>
      <c r="N103" t="s">
        <v>24</v>
      </c>
      <c r="O103">
        <v>45341.368936261577</v>
      </c>
      <c r="P103" t="s">
        <v>25</v>
      </c>
      <c r="Q103" t="s">
        <v>26</v>
      </c>
      <c r="R103">
        <f t="shared" si="1"/>
        <v>394621</v>
      </c>
    </row>
    <row r="104" spans="2:18" x14ac:dyDescent="0.3">
      <c r="B104">
        <v>138779</v>
      </c>
      <c r="C104" t="s">
        <v>49</v>
      </c>
      <c r="D104" t="s">
        <v>32</v>
      </c>
      <c r="E104" t="s">
        <v>18</v>
      </c>
      <c r="F104" t="s">
        <v>32</v>
      </c>
      <c r="G104">
        <v>2801</v>
      </c>
      <c r="H104" t="s">
        <v>19</v>
      </c>
      <c r="I104" t="s">
        <v>402</v>
      </c>
      <c r="J104" t="s">
        <v>403</v>
      </c>
      <c r="K104" t="s">
        <v>35</v>
      </c>
      <c r="L104" t="s">
        <v>40</v>
      </c>
      <c r="M104">
        <v>139</v>
      </c>
      <c r="N104" t="s">
        <v>24</v>
      </c>
      <c r="O104">
        <v>45341.368941412038</v>
      </c>
      <c r="P104" t="s">
        <v>25</v>
      </c>
      <c r="Q104" t="s">
        <v>26</v>
      </c>
      <c r="R104">
        <f t="shared" si="1"/>
        <v>389339</v>
      </c>
    </row>
    <row r="105" spans="2:18" x14ac:dyDescent="0.3">
      <c r="B105">
        <v>198329</v>
      </c>
      <c r="C105" t="s">
        <v>49</v>
      </c>
      <c r="D105" t="s">
        <v>32</v>
      </c>
      <c r="E105" t="s">
        <v>18</v>
      </c>
      <c r="F105" t="s">
        <v>32</v>
      </c>
      <c r="G105">
        <v>628</v>
      </c>
      <c r="H105" t="s">
        <v>19</v>
      </c>
      <c r="I105" t="s">
        <v>404</v>
      </c>
      <c r="J105" t="s">
        <v>405</v>
      </c>
      <c r="K105" t="s">
        <v>406</v>
      </c>
      <c r="L105" t="s">
        <v>407</v>
      </c>
      <c r="M105">
        <v>109</v>
      </c>
      <c r="N105" t="s">
        <v>24</v>
      </c>
      <c r="O105">
        <v>45341.36894670139</v>
      </c>
      <c r="P105" t="s">
        <v>25</v>
      </c>
      <c r="Q105" t="s">
        <v>26</v>
      </c>
      <c r="R105">
        <f t="shared" si="1"/>
        <v>68452</v>
      </c>
    </row>
    <row r="106" spans="2:18" x14ac:dyDescent="0.3">
      <c r="B106">
        <v>110295</v>
      </c>
      <c r="C106" t="s">
        <v>31</v>
      </c>
      <c r="D106" t="s">
        <v>32</v>
      </c>
      <c r="E106" t="s">
        <v>18</v>
      </c>
      <c r="F106" t="s">
        <v>17</v>
      </c>
      <c r="G106">
        <v>1448</v>
      </c>
      <c r="H106" t="s">
        <v>19</v>
      </c>
      <c r="I106" t="s">
        <v>408</v>
      </c>
      <c r="J106" t="s">
        <v>409</v>
      </c>
      <c r="K106" t="s">
        <v>410</v>
      </c>
      <c r="L106" t="s">
        <v>411</v>
      </c>
      <c r="M106">
        <v>129</v>
      </c>
      <c r="N106" t="s">
        <v>24</v>
      </c>
      <c r="O106">
        <v>45341.368951412034</v>
      </c>
      <c r="P106" t="s">
        <v>25</v>
      </c>
      <c r="Q106" t="s">
        <v>26</v>
      </c>
      <c r="R106">
        <f t="shared" si="1"/>
        <v>186792</v>
      </c>
    </row>
    <row r="107" spans="2:18" x14ac:dyDescent="0.3">
      <c r="B107">
        <v>196427</v>
      </c>
      <c r="C107" t="s">
        <v>16</v>
      </c>
      <c r="D107" t="s">
        <v>32</v>
      </c>
      <c r="E107" t="s">
        <v>18</v>
      </c>
      <c r="F107" t="s">
        <v>17</v>
      </c>
      <c r="G107">
        <v>1401</v>
      </c>
      <c r="H107" t="s">
        <v>19</v>
      </c>
      <c r="I107" t="s">
        <v>412</v>
      </c>
      <c r="J107" t="s">
        <v>413</v>
      </c>
      <c r="K107" t="s">
        <v>414</v>
      </c>
      <c r="L107" t="s">
        <v>415</v>
      </c>
      <c r="M107">
        <v>169</v>
      </c>
      <c r="N107" t="s">
        <v>24</v>
      </c>
      <c r="O107">
        <v>45341.368957210645</v>
      </c>
      <c r="P107" t="s">
        <v>25</v>
      </c>
      <c r="Q107" t="s">
        <v>26</v>
      </c>
      <c r="R107">
        <f t="shared" si="1"/>
        <v>236769</v>
      </c>
    </row>
    <row r="108" spans="2:18" x14ac:dyDescent="0.3">
      <c r="B108">
        <v>110075</v>
      </c>
      <c r="C108" t="s">
        <v>49</v>
      </c>
      <c r="D108" t="s">
        <v>32</v>
      </c>
      <c r="E108" t="s">
        <v>18</v>
      </c>
      <c r="F108" t="s">
        <v>32</v>
      </c>
      <c r="G108">
        <v>2185</v>
      </c>
      <c r="H108" t="s">
        <v>19</v>
      </c>
      <c r="I108" t="s">
        <v>416</v>
      </c>
      <c r="J108" t="s">
        <v>417</v>
      </c>
      <c r="K108" t="s">
        <v>418</v>
      </c>
      <c r="L108" t="s">
        <v>419</v>
      </c>
      <c r="M108">
        <v>159</v>
      </c>
      <c r="N108" t="s">
        <v>24</v>
      </c>
      <c r="O108">
        <v>45341.368962766202</v>
      </c>
      <c r="P108" t="s">
        <v>25</v>
      </c>
      <c r="Q108" t="s">
        <v>26</v>
      </c>
      <c r="R108">
        <f t="shared" si="1"/>
        <v>347415</v>
      </c>
    </row>
    <row r="109" spans="2:18" x14ac:dyDescent="0.3">
      <c r="B109">
        <v>132322</v>
      </c>
      <c r="C109" t="s">
        <v>49</v>
      </c>
      <c r="D109" t="s">
        <v>32</v>
      </c>
      <c r="E109" t="s">
        <v>18</v>
      </c>
      <c r="F109" t="s">
        <v>17</v>
      </c>
      <c r="G109">
        <v>2135</v>
      </c>
      <c r="H109" t="s">
        <v>19</v>
      </c>
      <c r="I109" t="s">
        <v>420</v>
      </c>
      <c r="J109" t="s">
        <v>421</v>
      </c>
      <c r="K109" t="s">
        <v>422</v>
      </c>
      <c r="L109" t="s">
        <v>423</v>
      </c>
      <c r="M109">
        <v>12.99</v>
      </c>
      <c r="N109" t="s">
        <v>24</v>
      </c>
      <c r="O109">
        <v>45341.369104178244</v>
      </c>
      <c r="P109" t="s">
        <v>25</v>
      </c>
      <c r="Q109" t="s">
        <v>26</v>
      </c>
      <c r="R109">
        <f t="shared" si="1"/>
        <v>27733.65</v>
      </c>
    </row>
    <row r="110" spans="2:18" x14ac:dyDescent="0.3">
      <c r="B110">
        <v>199631</v>
      </c>
      <c r="C110" t="s">
        <v>49</v>
      </c>
      <c r="D110" t="s">
        <v>32</v>
      </c>
      <c r="E110" t="s">
        <v>18</v>
      </c>
      <c r="F110" t="s">
        <v>17</v>
      </c>
      <c r="G110">
        <v>1269</v>
      </c>
      <c r="H110" t="s">
        <v>19</v>
      </c>
      <c r="I110" t="s">
        <v>424</v>
      </c>
      <c r="J110" t="s">
        <v>425</v>
      </c>
      <c r="K110" t="s">
        <v>426</v>
      </c>
      <c r="L110" t="s">
        <v>427</v>
      </c>
      <c r="M110">
        <v>89.9</v>
      </c>
      <c r="N110" t="s">
        <v>24</v>
      </c>
      <c r="O110">
        <v>45341.369115578702</v>
      </c>
      <c r="P110" t="s">
        <v>25</v>
      </c>
      <c r="Q110" t="s">
        <v>26</v>
      </c>
      <c r="R110">
        <f t="shared" si="1"/>
        <v>114083.1</v>
      </c>
    </row>
    <row r="111" spans="2:18" x14ac:dyDescent="0.3">
      <c r="B111">
        <v>182306</v>
      </c>
      <c r="C111" t="s">
        <v>49</v>
      </c>
      <c r="D111" t="s">
        <v>17</v>
      </c>
      <c r="E111" t="s">
        <v>18</v>
      </c>
      <c r="F111" t="s">
        <v>17</v>
      </c>
      <c r="G111">
        <v>2805</v>
      </c>
      <c r="H111" t="s">
        <v>19</v>
      </c>
      <c r="I111" t="s">
        <v>428</v>
      </c>
      <c r="J111" t="s">
        <v>429</v>
      </c>
      <c r="K111" t="s">
        <v>430</v>
      </c>
      <c r="L111" t="s">
        <v>431</v>
      </c>
      <c r="M111">
        <v>89.9</v>
      </c>
      <c r="N111" t="s">
        <v>24</v>
      </c>
      <c r="O111">
        <v>45341.369122129632</v>
      </c>
      <c r="P111" t="s">
        <v>25</v>
      </c>
      <c r="Q111" t="s">
        <v>26</v>
      </c>
      <c r="R111">
        <f t="shared" si="1"/>
        <v>252169.50000000003</v>
      </c>
    </row>
    <row r="112" spans="2:18" x14ac:dyDescent="0.3">
      <c r="B112">
        <v>194915</v>
      </c>
      <c r="C112" t="s">
        <v>16</v>
      </c>
      <c r="D112" t="s">
        <v>32</v>
      </c>
      <c r="E112" t="s">
        <v>18</v>
      </c>
      <c r="F112" t="s">
        <v>17</v>
      </c>
      <c r="G112">
        <v>1796</v>
      </c>
      <c r="H112" t="s">
        <v>19</v>
      </c>
      <c r="I112" t="s">
        <v>432</v>
      </c>
      <c r="J112" t="s">
        <v>433</v>
      </c>
      <c r="K112" t="s">
        <v>434</v>
      </c>
      <c r="L112" t="s">
        <v>435</v>
      </c>
      <c r="M112">
        <v>79.900000000000006</v>
      </c>
      <c r="N112" t="s">
        <v>24</v>
      </c>
      <c r="O112">
        <v>45341.369126967591</v>
      </c>
      <c r="P112" t="s">
        <v>25</v>
      </c>
      <c r="Q112" t="s">
        <v>26</v>
      </c>
      <c r="R112">
        <f t="shared" si="1"/>
        <v>143500.40000000002</v>
      </c>
    </row>
    <row r="113" spans="2:18" x14ac:dyDescent="0.3">
      <c r="B113">
        <v>131298</v>
      </c>
      <c r="C113" t="s">
        <v>31</v>
      </c>
      <c r="D113" t="s">
        <v>32</v>
      </c>
      <c r="E113" t="s">
        <v>18</v>
      </c>
      <c r="F113" t="s">
        <v>17</v>
      </c>
      <c r="G113">
        <v>2133</v>
      </c>
      <c r="H113" t="s">
        <v>19</v>
      </c>
      <c r="I113" t="s">
        <v>436</v>
      </c>
      <c r="J113" t="s">
        <v>437</v>
      </c>
      <c r="K113" t="s">
        <v>438</v>
      </c>
      <c r="L113" t="s">
        <v>439</v>
      </c>
      <c r="M113">
        <v>69.900000000000006</v>
      </c>
      <c r="N113" t="s">
        <v>24</v>
      </c>
      <c r="O113">
        <v>45341.369133969907</v>
      </c>
      <c r="P113" t="s">
        <v>25</v>
      </c>
      <c r="Q113" t="s">
        <v>26</v>
      </c>
      <c r="R113">
        <f t="shared" si="1"/>
        <v>149096.70000000001</v>
      </c>
    </row>
    <row r="114" spans="2:18" x14ac:dyDescent="0.3">
      <c r="B114">
        <v>168571</v>
      </c>
      <c r="C114" t="s">
        <v>16</v>
      </c>
      <c r="D114" t="s">
        <v>17</v>
      </c>
      <c r="E114" t="s">
        <v>18</v>
      </c>
      <c r="F114" t="s">
        <v>17</v>
      </c>
      <c r="G114">
        <v>1778</v>
      </c>
      <c r="H114" t="s">
        <v>19</v>
      </c>
      <c r="I114" t="s">
        <v>440</v>
      </c>
      <c r="J114" t="s">
        <v>441</v>
      </c>
      <c r="K114" t="s">
        <v>346</v>
      </c>
      <c r="L114" t="s">
        <v>442</v>
      </c>
      <c r="M114">
        <v>89.9</v>
      </c>
      <c r="N114" t="s">
        <v>24</v>
      </c>
      <c r="O114">
        <v>45341.369138969909</v>
      </c>
      <c r="P114" t="s">
        <v>25</v>
      </c>
      <c r="Q114" t="s">
        <v>26</v>
      </c>
      <c r="R114">
        <f t="shared" si="1"/>
        <v>159842.20000000001</v>
      </c>
    </row>
    <row r="115" spans="2:18" x14ac:dyDescent="0.3">
      <c r="B115">
        <v>154224</v>
      </c>
      <c r="C115" t="s">
        <v>31</v>
      </c>
      <c r="D115" t="s">
        <v>32</v>
      </c>
      <c r="E115" t="s">
        <v>18</v>
      </c>
      <c r="F115" t="s">
        <v>17</v>
      </c>
      <c r="G115">
        <v>2474</v>
      </c>
      <c r="H115" t="s">
        <v>19</v>
      </c>
      <c r="I115" t="s">
        <v>443</v>
      </c>
      <c r="J115" t="s">
        <v>444</v>
      </c>
      <c r="K115" t="s">
        <v>445</v>
      </c>
      <c r="L115" t="s">
        <v>446</v>
      </c>
      <c r="M115">
        <v>89.9</v>
      </c>
      <c r="N115" t="s">
        <v>24</v>
      </c>
      <c r="O115">
        <v>45341.369143969911</v>
      </c>
      <c r="P115" t="s">
        <v>25</v>
      </c>
      <c r="Q115" t="s">
        <v>26</v>
      </c>
      <c r="R115">
        <f t="shared" si="1"/>
        <v>222412.6</v>
      </c>
    </row>
    <row r="116" spans="2:18" x14ac:dyDescent="0.3">
      <c r="B116">
        <v>171061</v>
      </c>
      <c r="C116" t="s">
        <v>16</v>
      </c>
      <c r="D116" t="s">
        <v>17</v>
      </c>
      <c r="E116" t="s">
        <v>18</v>
      </c>
      <c r="F116" t="s">
        <v>32</v>
      </c>
      <c r="G116">
        <v>2032</v>
      </c>
      <c r="H116" t="s">
        <v>19</v>
      </c>
      <c r="I116" t="s">
        <v>447</v>
      </c>
      <c r="J116" t="s">
        <v>448</v>
      </c>
      <c r="K116" t="s">
        <v>438</v>
      </c>
      <c r="L116" t="s">
        <v>449</v>
      </c>
      <c r="M116">
        <v>59.9</v>
      </c>
      <c r="N116" t="s">
        <v>24</v>
      </c>
      <c r="O116">
        <v>45341.369148645834</v>
      </c>
      <c r="P116" t="s">
        <v>25</v>
      </c>
      <c r="Q116" t="s">
        <v>26</v>
      </c>
      <c r="R116">
        <f t="shared" si="1"/>
        <v>121716.8</v>
      </c>
    </row>
    <row r="117" spans="2:18" x14ac:dyDescent="0.3">
      <c r="B117">
        <v>119049</v>
      </c>
      <c r="C117" t="s">
        <v>16</v>
      </c>
      <c r="D117" t="s">
        <v>17</v>
      </c>
      <c r="E117" t="s">
        <v>18</v>
      </c>
      <c r="F117" t="s">
        <v>32</v>
      </c>
      <c r="G117">
        <v>1659</v>
      </c>
      <c r="H117" t="s">
        <v>19</v>
      </c>
      <c r="I117" t="s">
        <v>450</v>
      </c>
      <c r="J117" t="s">
        <v>451</v>
      </c>
      <c r="K117" t="s">
        <v>452</v>
      </c>
      <c r="L117" t="s">
        <v>453</v>
      </c>
      <c r="M117">
        <v>89.9</v>
      </c>
      <c r="N117" t="s">
        <v>24</v>
      </c>
      <c r="O117">
        <v>45341.369159710652</v>
      </c>
      <c r="P117" t="s">
        <v>25</v>
      </c>
      <c r="Q117" t="s">
        <v>26</v>
      </c>
      <c r="R117">
        <f t="shared" si="1"/>
        <v>149144.1</v>
      </c>
    </row>
    <row r="118" spans="2:18" x14ac:dyDescent="0.3">
      <c r="B118">
        <v>158781</v>
      </c>
      <c r="C118" t="s">
        <v>31</v>
      </c>
      <c r="D118" t="s">
        <v>32</v>
      </c>
      <c r="E118" t="s">
        <v>18</v>
      </c>
      <c r="F118" t="s">
        <v>32</v>
      </c>
      <c r="G118">
        <v>2443</v>
      </c>
      <c r="H118" t="s">
        <v>19</v>
      </c>
      <c r="I118" t="s">
        <v>454</v>
      </c>
      <c r="J118" t="s">
        <v>455</v>
      </c>
      <c r="K118" t="s">
        <v>456</v>
      </c>
      <c r="L118" t="s">
        <v>457</v>
      </c>
      <c r="M118">
        <v>69.900000000000006</v>
      </c>
      <c r="N118" t="s">
        <v>24</v>
      </c>
      <c r="O118">
        <v>45341.369165289354</v>
      </c>
      <c r="P118" t="s">
        <v>25</v>
      </c>
      <c r="Q118" t="s">
        <v>26</v>
      </c>
      <c r="R118">
        <f t="shared" si="1"/>
        <v>170765.7</v>
      </c>
    </row>
    <row r="119" spans="2:18" x14ac:dyDescent="0.3">
      <c r="B119">
        <v>151438</v>
      </c>
      <c r="C119" t="s">
        <v>16</v>
      </c>
      <c r="D119" t="s">
        <v>17</v>
      </c>
      <c r="E119" t="s">
        <v>18</v>
      </c>
      <c r="F119" t="s">
        <v>32</v>
      </c>
      <c r="G119">
        <v>1137</v>
      </c>
      <c r="H119" t="s">
        <v>19</v>
      </c>
      <c r="I119" t="s">
        <v>458</v>
      </c>
      <c r="J119" t="s">
        <v>459</v>
      </c>
      <c r="K119" t="s">
        <v>438</v>
      </c>
      <c r="L119" t="s">
        <v>460</v>
      </c>
      <c r="M119">
        <v>69.900000000000006</v>
      </c>
      <c r="N119" t="s">
        <v>24</v>
      </c>
      <c r="O119">
        <v>45341.369170740742</v>
      </c>
      <c r="P119" t="s">
        <v>25</v>
      </c>
      <c r="Q119" t="s">
        <v>26</v>
      </c>
      <c r="R119">
        <f t="shared" si="1"/>
        <v>79476.3</v>
      </c>
    </row>
    <row r="120" spans="2:18" x14ac:dyDescent="0.3">
      <c r="B120">
        <v>152871</v>
      </c>
      <c r="C120" t="s">
        <v>31</v>
      </c>
      <c r="D120" t="s">
        <v>17</v>
      </c>
      <c r="E120" t="s">
        <v>18</v>
      </c>
      <c r="F120" t="s">
        <v>32</v>
      </c>
      <c r="G120">
        <v>1847</v>
      </c>
      <c r="H120" t="s">
        <v>19</v>
      </c>
      <c r="I120" t="s">
        <v>461</v>
      </c>
      <c r="J120" t="s">
        <v>462</v>
      </c>
      <c r="K120" t="s">
        <v>463</v>
      </c>
      <c r="L120" t="s">
        <v>464</v>
      </c>
      <c r="M120">
        <v>69.900000000000006</v>
      </c>
      <c r="N120" t="s">
        <v>24</v>
      </c>
      <c r="O120">
        <v>45341.369175763888</v>
      </c>
      <c r="P120" t="s">
        <v>25</v>
      </c>
      <c r="Q120" t="s">
        <v>26</v>
      </c>
      <c r="R120">
        <f t="shared" si="1"/>
        <v>129105.30000000002</v>
      </c>
    </row>
    <row r="121" spans="2:18" x14ac:dyDescent="0.3">
      <c r="B121">
        <v>126806</v>
      </c>
      <c r="C121" t="s">
        <v>31</v>
      </c>
      <c r="D121" t="s">
        <v>32</v>
      </c>
      <c r="E121" t="s">
        <v>18</v>
      </c>
      <c r="F121" t="s">
        <v>32</v>
      </c>
      <c r="G121">
        <v>2404</v>
      </c>
      <c r="H121" t="s">
        <v>19</v>
      </c>
      <c r="I121" t="s">
        <v>465</v>
      </c>
      <c r="J121" t="s">
        <v>466</v>
      </c>
      <c r="K121" t="s">
        <v>346</v>
      </c>
      <c r="L121" t="s">
        <v>467</v>
      </c>
      <c r="M121">
        <v>109</v>
      </c>
      <c r="N121" t="s">
        <v>24</v>
      </c>
      <c r="O121">
        <v>45341.369181666669</v>
      </c>
      <c r="P121" t="s">
        <v>25</v>
      </c>
      <c r="Q121" t="s">
        <v>26</v>
      </c>
      <c r="R121">
        <f t="shared" si="1"/>
        <v>262036</v>
      </c>
    </row>
    <row r="122" spans="2:18" x14ac:dyDescent="0.3">
      <c r="B122">
        <v>134104</v>
      </c>
      <c r="C122" t="s">
        <v>31</v>
      </c>
      <c r="D122" t="s">
        <v>17</v>
      </c>
      <c r="E122" t="s">
        <v>18</v>
      </c>
      <c r="F122" t="s">
        <v>32</v>
      </c>
      <c r="G122">
        <v>1466</v>
      </c>
      <c r="H122" t="s">
        <v>19</v>
      </c>
      <c r="I122" t="s">
        <v>468</v>
      </c>
      <c r="J122" t="s">
        <v>469</v>
      </c>
      <c r="K122" t="s">
        <v>470</v>
      </c>
      <c r="L122" t="s">
        <v>471</v>
      </c>
      <c r="M122">
        <v>59.9</v>
      </c>
      <c r="N122" t="s">
        <v>24</v>
      </c>
      <c r="O122">
        <v>45341.36918681713</v>
      </c>
      <c r="P122" t="s">
        <v>25</v>
      </c>
      <c r="Q122" t="s">
        <v>26</v>
      </c>
      <c r="R122">
        <f t="shared" si="1"/>
        <v>87813.4</v>
      </c>
    </row>
    <row r="123" spans="2:18" x14ac:dyDescent="0.3">
      <c r="B123">
        <v>120266</v>
      </c>
      <c r="C123" t="s">
        <v>49</v>
      </c>
      <c r="D123" t="s">
        <v>17</v>
      </c>
      <c r="E123" t="s">
        <v>18</v>
      </c>
      <c r="F123" t="s">
        <v>17</v>
      </c>
      <c r="G123">
        <v>2328</v>
      </c>
      <c r="H123" t="s">
        <v>19</v>
      </c>
      <c r="I123" t="s">
        <v>472</v>
      </c>
      <c r="J123" t="s">
        <v>473</v>
      </c>
      <c r="K123" t="s">
        <v>438</v>
      </c>
      <c r="L123" t="s">
        <v>474</v>
      </c>
      <c r="M123">
        <v>59.9</v>
      </c>
      <c r="N123" t="s">
        <v>24</v>
      </c>
      <c r="O123">
        <v>45341.369192500002</v>
      </c>
      <c r="P123" t="s">
        <v>25</v>
      </c>
      <c r="Q123" t="s">
        <v>26</v>
      </c>
      <c r="R123">
        <f t="shared" si="1"/>
        <v>139447.19999999998</v>
      </c>
    </row>
    <row r="124" spans="2:18" x14ac:dyDescent="0.3">
      <c r="B124">
        <v>173550</v>
      </c>
      <c r="C124" t="s">
        <v>31</v>
      </c>
      <c r="D124" t="s">
        <v>17</v>
      </c>
      <c r="E124" t="s">
        <v>18</v>
      </c>
      <c r="F124" t="s">
        <v>32</v>
      </c>
      <c r="G124">
        <v>1431</v>
      </c>
      <c r="H124" t="s">
        <v>19</v>
      </c>
      <c r="I124" t="s">
        <v>475</v>
      </c>
      <c r="J124" t="s">
        <v>476</v>
      </c>
      <c r="K124" t="s">
        <v>346</v>
      </c>
      <c r="L124" t="s">
        <v>477</v>
      </c>
      <c r="M124">
        <v>59.9</v>
      </c>
      <c r="N124" t="s">
        <v>24</v>
      </c>
      <c r="O124">
        <v>45341.369198310182</v>
      </c>
      <c r="P124" t="s">
        <v>25</v>
      </c>
      <c r="Q124" t="s">
        <v>26</v>
      </c>
      <c r="R124">
        <f t="shared" si="1"/>
        <v>85716.9</v>
      </c>
    </row>
    <row r="125" spans="2:18" x14ac:dyDescent="0.3">
      <c r="B125">
        <v>175927</v>
      </c>
      <c r="C125" t="s">
        <v>31</v>
      </c>
      <c r="D125" t="s">
        <v>17</v>
      </c>
      <c r="E125" t="s">
        <v>18</v>
      </c>
      <c r="F125" t="s">
        <v>32</v>
      </c>
      <c r="G125">
        <v>1506</v>
      </c>
      <c r="H125" t="s">
        <v>19</v>
      </c>
      <c r="I125" t="s">
        <v>478</v>
      </c>
      <c r="J125" t="s">
        <v>479</v>
      </c>
      <c r="K125" t="s">
        <v>480</v>
      </c>
      <c r="L125" t="s">
        <v>481</v>
      </c>
      <c r="M125">
        <v>109</v>
      </c>
      <c r="N125" t="s">
        <v>24</v>
      </c>
      <c r="O125">
        <v>45341.36920346065</v>
      </c>
      <c r="P125" t="s">
        <v>25</v>
      </c>
      <c r="Q125" t="s">
        <v>26</v>
      </c>
      <c r="R125">
        <f t="shared" si="1"/>
        <v>164154</v>
      </c>
    </row>
    <row r="126" spans="2:18" x14ac:dyDescent="0.3">
      <c r="B126">
        <v>154278</v>
      </c>
      <c r="C126" t="s">
        <v>31</v>
      </c>
      <c r="D126" t="s">
        <v>17</v>
      </c>
      <c r="E126" t="s">
        <v>18</v>
      </c>
      <c r="F126" t="s">
        <v>32</v>
      </c>
      <c r="G126">
        <v>2749</v>
      </c>
      <c r="H126" t="s">
        <v>19</v>
      </c>
      <c r="I126" t="s">
        <v>482</v>
      </c>
      <c r="J126" t="s">
        <v>483</v>
      </c>
      <c r="K126" t="s">
        <v>484</v>
      </c>
      <c r="L126" t="s">
        <v>485</v>
      </c>
      <c r="M126">
        <v>89.9</v>
      </c>
      <c r="N126" t="s">
        <v>24</v>
      </c>
      <c r="O126">
        <v>45341.369208842596</v>
      </c>
      <c r="P126" t="s">
        <v>25</v>
      </c>
      <c r="Q126" t="s">
        <v>26</v>
      </c>
      <c r="R126">
        <f t="shared" si="1"/>
        <v>247135.1</v>
      </c>
    </row>
    <row r="127" spans="2:18" x14ac:dyDescent="0.3">
      <c r="B127">
        <v>183537</v>
      </c>
      <c r="C127" t="s">
        <v>49</v>
      </c>
      <c r="D127" t="s">
        <v>32</v>
      </c>
      <c r="E127" t="s">
        <v>18</v>
      </c>
      <c r="F127" t="s">
        <v>32</v>
      </c>
      <c r="G127">
        <v>2434</v>
      </c>
      <c r="H127" t="s">
        <v>19</v>
      </c>
      <c r="I127" t="s">
        <v>486</v>
      </c>
      <c r="J127" t="s">
        <v>487</v>
      </c>
      <c r="K127" t="s">
        <v>488</v>
      </c>
      <c r="L127" t="s">
        <v>489</v>
      </c>
      <c r="M127">
        <v>19.989999999999998</v>
      </c>
      <c r="N127" t="s">
        <v>24</v>
      </c>
      <c r="O127">
        <v>45341.369214351849</v>
      </c>
      <c r="P127" t="s">
        <v>25</v>
      </c>
      <c r="Q127" t="s">
        <v>26</v>
      </c>
      <c r="R127">
        <f t="shared" si="1"/>
        <v>48655.659999999996</v>
      </c>
    </row>
    <row r="128" spans="2:18" x14ac:dyDescent="0.3">
      <c r="B128">
        <v>150424</v>
      </c>
      <c r="C128" t="s">
        <v>49</v>
      </c>
      <c r="D128" t="s">
        <v>17</v>
      </c>
      <c r="E128" t="s">
        <v>18</v>
      </c>
      <c r="F128" t="s">
        <v>32</v>
      </c>
      <c r="G128">
        <v>2067</v>
      </c>
      <c r="H128" t="s">
        <v>19</v>
      </c>
      <c r="I128" t="s">
        <v>490</v>
      </c>
      <c r="J128" t="s">
        <v>491</v>
      </c>
      <c r="K128" t="s">
        <v>492</v>
      </c>
      <c r="L128" t="s">
        <v>493</v>
      </c>
      <c r="M128">
        <v>79.900000000000006</v>
      </c>
      <c r="N128" t="s">
        <v>24</v>
      </c>
      <c r="O128">
        <v>45341.369220324072</v>
      </c>
      <c r="P128" t="s">
        <v>25</v>
      </c>
      <c r="Q128" t="s">
        <v>26</v>
      </c>
      <c r="R128">
        <f t="shared" si="1"/>
        <v>165153.30000000002</v>
      </c>
    </row>
    <row r="129" spans="2:18" x14ac:dyDescent="0.3">
      <c r="B129">
        <v>183825</v>
      </c>
      <c r="C129" t="s">
        <v>16</v>
      </c>
      <c r="D129" t="s">
        <v>32</v>
      </c>
      <c r="E129" t="s">
        <v>18</v>
      </c>
      <c r="F129" t="s">
        <v>32</v>
      </c>
      <c r="G129">
        <v>2989</v>
      </c>
      <c r="H129" t="s">
        <v>19</v>
      </c>
      <c r="I129" t="s">
        <v>494</v>
      </c>
      <c r="J129" t="s">
        <v>495</v>
      </c>
      <c r="K129" t="s">
        <v>496</v>
      </c>
      <c r="L129" t="s">
        <v>497</v>
      </c>
      <c r="M129">
        <v>19.989999999999998</v>
      </c>
      <c r="N129" t="s">
        <v>24</v>
      </c>
      <c r="O129">
        <v>45341.369226006944</v>
      </c>
      <c r="P129" t="s">
        <v>25</v>
      </c>
      <c r="Q129" t="s">
        <v>26</v>
      </c>
      <c r="R129">
        <f t="shared" si="1"/>
        <v>59750.109999999993</v>
      </c>
    </row>
    <row r="130" spans="2:18" x14ac:dyDescent="0.3">
      <c r="B130">
        <v>144012</v>
      </c>
      <c r="C130" t="s">
        <v>49</v>
      </c>
      <c r="D130" t="s">
        <v>32</v>
      </c>
      <c r="E130" t="s">
        <v>18</v>
      </c>
      <c r="F130" t="s">
        <v>17</v>
      </c>
      <c r="G130">
        <v>743</v>
      </c>
      <c r="H130" t="s">
        <v>19</v>
      </c>
      <c r="I130" t="s">
        <v>498</v>
      </c>
      <c r="J130" t="s">
        <v>499</v>
      </c>
      <c r="K130" t="s">
        <v>500</v>
      </c>
      <c r="L130" t="s">
        <v>501</v>
      </c>
      <c r="M130">
        <v>59.9</v>
      </c>
      <c r="N130" t="s">
        <v>24</v>
      </c>
      <c r="O130">
        <v>45341.369232442128</v>
      </c>
      <c r="P130" t="s">
        <v>25</v>
      </c>
      <c r="Q130" t="s">
        <v>26</v>
      </c>
      <c r="R130">
        <f t="shared" si="1"/>
        <v>44505.7</v>
      </c>
    </row>
    <row r="131" spans="2:18" x14ac:dyDescent="0.3">
      <c r="B131">
        <v>147051</v>
      </c>
      <c r="C131" t="s">
        <v>49</v>
      </c>
      <c r="D131" t="s">
        <v>17</v>
      </c>
      <c r="E131" t="s">
        <v>18</v>
      </c>
      <c r="F131" t="s">
        <v>17</v>
      </c>
      <c r="G131">
        <v>2325</v>
      </c>
      <c r="H131" t="s">
        <v>19</v>
      </c>
      <c r="I131" t="s">
        <v>502</v>
      </c>
      <c r="J131" t="s">
        <v>503</v>
      </c>
      <c r="K131" t="s">
        <v>504</v>
      </c>
      <c r="L131" t="s">
        <v>505</v>
      </c>
      <c r="M131">
        <v>109</v>
      </c>
      <c r="N131" t="s">
        <v>24</v>
      </c>
      <c r="O131">
        <v>45341.369237939813</v>
      </c>
      <c r="P131" t="s">
        <v>25</v>
      </c>
      <c r="Q131" t="s">
        <v>26</v>
      </c>
      <c r="R131">
        <f t="shared" si="1"/>
        <v>253425</v>
      </c>
    </row>
    <row r="132" spans="2:18" x14ac:dyDescent="0.3">
      <c r="B132">
        <v>185800</v>
      </c>
      <c r="C132" t="s">
        <v>31</v>
      </c>
      <c r="D132" t="s">
        <v>17</v>
      </c>
      <c r="E132" t="s">
        <v>18</v>
      </c>
      <c r="F132" t="s">
        <v>32</v>
      </c>
      <c r="G132">
        <v>1841</v>
      </c>
      <c r="H132" t="s">
        <v>19</v>
      </c>
      <c r="I132" t="s">
        <v>506</v>
      </c>
      <c r="J132" t="s">
        <v>507</v>
      </c>
      <c r="K132" t="s">
        <v>508</v>
      </c>
      <c r="L132" t="s">
        <v>509</v>
      </c>
      <c r="M132">
        <v>109</v>
      </c>
      <c r="N132" t="s">
        <v>24</v>
      </c>
      <c r="O132">
        <v>45341.369243564812</v>
      </c>
      <c r="P132" t="s">
        <v>25</v>
      </c>
      <c r="Q132" t="s">
        <v>26</v>
      </c>
      <c r="R132">
        <f t="shared" ref="R132:R195" si="2">G132*M132</f>
        <v>200669</v>
      </c>
    </row>
    <row r="133" spans="2:18" x14ac:dyDescent="0.3">
      <c r="B133">
        <v>197524</v>
      </c>
      <c r="C133" t="s">
        <v>16</v>
      </c>
      <c r="D133" t="s">
        <v>32</v>
      </c>
      <c r="E133" t="s">
        <v>18</v>
      </c>
      <c r="F133" t="s">
        <v>32</v>
      </c>
      <c r="G133">
        <v>2231</v>
      </c>
      <c r="H133" t="s">
        <v>19</v>
      </c>
      <c r="I133" t="s">
        <v>510</v>
      </c>
      <c r="J133" t="s">
        <v>511</v>
      </c>
      <c r="K133" t="s">
        <v>438</v>
      </c>
      <c r="L133" t="s">
        <v>512</v>
      </c>
      <c r="M133">
        <v>49.9</v>
      </c>
      <c r="N133" t="s">
        <v>24</v>
      </c>
      <c r="O133">
        <v>45341.369249930554</v>
      </c>
      <c r="P133" t="s">
        <v>25</v>
      </c>
      <c r="Q133" t="s">
        <v>26</v>
      </c>
      <c r="R133">
        <f t="shared" si="2"/>
        <v>111326.9</v>
      </c>
    </row>
    <row r="134" spans="2:18" x14ac:dyDescent="0.3">
      <c r="B134">
        <v>148823</v>
      </c>
      <c r="C134" t="s">
        <v>16</v>
      </c>
      <c r="D134" t="s">
        <v>17</v>
      </c>
      <c r="E134" t="s">
        <v>18</v>
      </c>
      <c r="F134" t="s">
        <v>32</v>
      </c>
      <c r="G134">
        <v>2211</v>
      </c>
      <c r="H134" t="s">
        <v>19</v>
      </c>
      <c r="I134" t="s">
        <v>513</v>
      </c>
      <c r="J134" t="s">
        <v>514</v>
      </c>
      <c r="K134" t="s">
        <v>515</v>
      </c>
      <c r="L134" t="s">
        <v>516</v>
      </c>
      <c r="M134">
        <v>89.9</v>
      </c>
      <c r="N134" t="s">
        <v>24</v>
      </c>
      <c r="O134">
        <v>45341.37532900463</v>
      </c>
      <c r="P134" t="s">
        <v>517</v>
      </c>
      <c r="Q134" t="s">
        <v>26</v>
      </c>
      <c r="R134">
        <f t="shared" si="2"/>
        <v>198768.90000000002</v>
      </c>
    </row>
    <row r="135" spans="2:18" x14ac:dyDescent="0.3">
      <c r="B135">
        <v>114550</v>
      </c>
      <c r="C135" t="s">
        <v>31</v>
      </c>
      <c r="D135" t="s">
        <v>17</v>
      </c>
      <c r="E135" t="s">
        <v>18</v>
      </c>
      <c r="F135" t="s">
        <v>17</v>
      </c>
      <c r="G135">
        <v>2114</v>
      </c>
      <c r="H135" t="s">
        <v>19</v>
      </c>
      <c r="I135" t="s">
        <v>518</v>
      </c>
      <c r="J135" t="s">
        <v>519</v>
      </c>
      <c r="K135" t="s">
        <v>520</v>
      </c>
      <c r="L135" t="s">
        <v>521</v>
      </c>
      <c r="M135">
        <v>69.900000000000006</v>
      </c>
      <c r="N135" t="s">
        <v>24</v>
      </c>
      <c r="O135">
        <v>45341.375336168981</v>
      </c>
      <c r="P135" t="s">
        <v>517</v>
      </c>
      <c r="Q135" t="s">
        <v>26</v>
      </c>
      <c r="R135">
        <f t="shared" si="2"/>
        <v>147768.6</v>
      </c>
    </row>
    <row r="136" spans="2:18" x14ac:dyDescent="0.3">
      <c r="B136">
        <v>125398</v>
      </c>
      <c r="C136" t="s">
        <v>16</v>
      </c>
      <c r="D136" t="s">
        <v>32</v>
      </c>
      <c r="E136" t="s">
        <v>18</v>
      </c>
      <c r="F136" t="s">
        <v>32</v>
      </c>
      <c r="G136">
        <v>1350</v>
      </c>
      <c r="H136" t="s">
        <v>19</v>
      </c>
      <c r="I136" t="s">
        <v>522</v>
      </c>
      <c r="J136" t="s">
        <v>523</v>
      </c>
      <c r="K136" t="s">
        <v>524</v>
      </c>
      <c r="L136" t="s">
        <v>525</v>
      </c>
      <c r="M136">
        <v>69.900000000000006</v>
      </c>
      <c r="N136" t="s">
        <v>24</v>
      </c>
      <c r="O136">
        <v>45341.375347974536</v>
      </c>
      <c r="P136" t="s">
        <v>517</v>
      </c>
      <c r="Q136" t="s">
        <v>26</v>
      </c>
      <c r="R136">
        <f t="shared" si="2"/>
        <v>94365.000000000015</v>
      </c>
    </row>
    <row r="137" spans="2:18" x14ac:dyDescent="0.3">
      <c r="B137">
        <v>123985</v>
      </c>
      <c r="C137" t="s">
        <v>31</v>
      </c>
      <c r="D137" t="s">
        <v>17</v>
      </c>
      <c r="E137" t="s">
        <v>18</v>
      </c>
      <c r="F137" t="s">
        <v>17</v>
      </c>
      <c r="G137">
        <v>2240</v>
      </c>
      <c r="H137" t="s">
        <v>19</v>
      </c>
      <c r="I137" t="s">
        <v>526</v>
      </c>
      <c r="J137" t="s">
        <v>527</v>
      </c>
      <c r="K137" t="s">
        <v>528</v>
      </c>
      <c r="L137" t="s">
        <v>529</v>
      </c>
      <c r="M137">
        <v>69.900000000000006</v>
      </c>
      <c r="N137" t="s">
        <v>24</v>
      </c>
      <c r="O137">
        <v>45341.37535746528</v>
      </c>
      <c r="P137" t="s">
        <v>517</v>
      </c>
      <c r="Q137" t="s">
        <v>26</v>
      </c>
      <c r="R137">
        <f t="shared" si="2"/>
        <v>156576</v>
      </c>
    </row>
    <row r="138" spans="2:18" x14ac:dyDescent="0.3">
      <c r="B138">
        <v>186638</v>
      </c>
      <c r="C138" t="s">
        <v>31</v>
      </c>
      <c r="D138" t="s">
        <v>32</v>
      </c>
      <c r="E138" t="s">
        <v>18</v>
      </c>
      <c r="F138" t="s">
        <v>17</v>
      </c>
      <c r="G138">
        <v>1296</v>
      </c>
      <c r="H138" t="s">
        <v>19</v>
      </c>
      <c r="I138" t="s">
        <v>530</v>
      </c>
      <c r="J138" t="s">
        <v>531</v>
      </c>
      <c r="K138" t="s">
        <v>532</v>
      </c>
      <c r="L138" t="s">
        <v>533</v>
      </c>
      <c r="M138">
        <v>59.9</v>
      </c>
      <c r="N138" t="s">
        <v>24</v>
      </c>
      <c r="O138">
        <v>45341.375363622683</v>
      </c>
      <c r="P138" t="s">
        <v>517</v>
      </c>
      <c r="Q138" t="s">
        <v>26</v>
      </c>
      <c r="R138">
        <f t="shared" si="2"/>
        <v>77630.399999999994</v>
      </c>
    </row>
    <row r="139" spans="2:18" x14ac:dyDescent="0.3">
      <c r="B139">
        <v>167281</v>
      </c>
      <c r="C139" t="s">
        <v>31</v>
      </c>
      <c r="D139" t="s">
        <v>32</v>
      </c>
      <c r="E139" t="s">
        <v>18</v>
      </c>
      <c r="F139" t="s">
        <v>32</v>
      </c>
      <c r="G139">
        <v>892</v>
      </c>
      <c r="H139" t="s">
        <v>19</v>
      </c>
      <c r="I139" t="s">
        <v>534</v>
      </c>
      <c r="J139" t="s">
        <v>535</v>
      </c>
      <c r="K139" t="s">
        <v>536</v>
      </c>
      <c r="L139" t="s">
        <v>537</v>
      </c>
      <c r="M139">
        <v>59.9</v>
      </c>
      <c r="N139" t="s">
        <v>24</v>
      </c>
      <c r="O139">
        <v>45341.375370694448</v>
      </c>
      <c r="P139" t="s">
        <v>517</v>
      </c>
      <c r="Q139" t="s">
        <v>26</v>
      </c>
      <c r="R139">
        <f t="shared" si="2"/>
        <v>53430.799999999996</v>
      </c>
    </row>
    <row r="140" spans="2:18" x14ac:dyDescent="0.3">
      <c r="B140">
        <v>118578</v>
      </c>
      <c r="C140" t="s">
        <v>31</v>
      </c>
      <c r="D140" t="s">
        <v>17</v>
      </c>
      <c r="E140" t="s">
        <v>18</v>
      </c>
      <c r="F140" t="s">
        <v>32</v>
      </c>
      <c r="G140">
        <v>1678</v>
      </c>
      <c r="H140" t="s">
        <v>19</v>
      </c>
      <c r="I140" t="s">
        <v>538</v>
      </c>
      <c r="J140" t="s">
        <v>539</v>
      </c>
      <c r="K140" t="s">
        <v>540</v>
      </c>
      <c r="L140" t="s">
        <v>541</v>
      </c>
      <c r="M140">
        <v>49.9</v>
      </c>
      <c r="N140" t="s">
        <v>24</v>
      </c>
      <c r="O140">
        <v>45341.375378067132</v>
      </c>
      <c r="P140" t="s">
        <v>517</v>
      </c>
      <c r="Q140" t="s">
        <v>26</v>
      </c>
      <c r="R140">
        <f t="shared" si="2"/>
        <v>83732.2</v>
      </c>
    </row>
    <row r="141" spans="2:18" x14ac:dyDescent="0.3">
      <c r="B141">
        <v>174041</v>
      </c>
      <c r="C141" t="s">
        <v>31</v>
      </c>
      <c r="D141" t="s">
        <v>17</v>
      </c>
      <c r="E141" t="s">
        <v>18</v>
      </c>
      <c r="F141" t="s">
        <v>17</v>
      </c>
      <c r="G141">
        <v>2016</v>
      </c>
      <c r="H141" t="s">
        <v>19</v>
      </c>
      <c r="I141" t="s">
        <v>542</v>
      </c>
      <c r="J141" t="s">
        <v>543</v>
      </c>
      <c r="K141" t="s">
        <v>544</v>
      </c>
      <c r="L141" t="s">
        <v>545</v>
      </c>
      <c r="M141">
        <v>49.9</v>
      </c>
      <c r="N141" t="s">
        <v>24</v>
      </c>
      <c r="O141">
        <v>45341.375386354164</v>
      </c>
      <c r="P141" t="s">
        <v>517</v>
      </c>
      <c r="Q141" t="s">
        <v>26</v>
      </c>
      <c r="R141">
        <f t="shared" si="2"/>
        <v>100598.39999999999</v>
      </c>
    </row>
    <row r="142" spans="2:18" x14ac:dyDescent="0.3">
      <c r="B142">
        <v>127644</v>
      </c>
      <c r="C142" t="s">
        <v>49</v>
      </c>
      <c r="D142" t="s">
        <v>17</v>
      </c>
      <c r="E142" t="s">
        <v>18</v>
      </c>
      <c r="F142" t="s">
        <v>32</v>
      </c>
      <c r="G142">
        <v>1498</v>
      </c>
      <c r="H142" t="s">
        <v>19</v>
      </c>
      <c r="I142" t="s">
        <v>546</v>
      </c>
      <c r="J142" t="s">
        <v>547</v>
      </c>
      <c r="K142" t="s">
        <v>548</v>
      </c>
      <c r="L142" t="s">
        <v>549</v>
      </c>
      <c r="M142">
        <v>45.9</v>
      </c>
      <c r="N142" t="s">
        <v>24</v>
      </c>
      <c r="O142">
        <v>45341.37539371528</v>
      </c>
      <c r="P142" t="s">
        <v>517</v>
      </c>
      <c r="Q142" t="s">
        <v>26</v>
      </c>
      <c r="R142">
        <f t="shared" si="2"/>
        <v>68758.2</v>
      </c>
    </row>
    <row r="143" spans="2:18" x14ac:dyDescent="0.3">
      <c r="B143">
        <v>132007</v>
      </c>
      <c r="C143" t="s">
        <v>16</v>
      </c>
      <c r="D143" t="s">
        <v>17</v>
      </c>
      <c r="E143" t="s">
        <v>18</v>
      </c>
      <c r="F143" t="s">
        <v>32</v>
      </c>
      <c r="G143">
        <v>2491</v>
      </c>
      <c r="H143" t="s">
        <v>19</v>
      </c>
      <c r="I143" t="s">
        <v>550</v>
      </c>
      <c r="J143" t="s">
        <v>551</v>
      </c>
      <c r="K143" t="s">
        <v>552</v>
      </c>
      <c r="L143" t="s">
        <v>553</v>
      </c>
      <c r="M143">
        <v>9.99</v>
      </c>
      <c r="N143" t="s">
        <v>24</v>
      </c>
      <c r="O143">
        <v>45341.375404976854</v>
      </c>
      <c r="P143" t="s">
        <v>517</v>
      </c>
      <c r="Q143" t="s">
        <v>26</v>
      </c>
      <c r="R143">
        <f t="shared" si="2"/>
        <v>24885.09</v>
      </c>
    </row>
    <row r="144" spans="2:18" x14ac:dyDescent="0.3">
      <c r="B144">
        <v>147998</v>
      </c>
      <c r="C144" t="s">
        <v>16</v>
      </c>
      <c r="D144" t="s">
        <v>17</v>
      </c>
      <c r="E144" t="s">
        <v>18</v>
      </c>
      <c r="F144" t="s">
        <v>17</v>
      </c>
      <c r="G144">
        <v>2556</v>
      </c>
      <c r="H144" t="s">
        <v>19</v>
      </c>
      <c r="I144" t="s">
        <v>554</v>
      </c>
      <c r="J144" t="s">
        <v>555</v>
      </c>
      <c r="K144" t="s">
        <v>556</v>
      </c>
      <c r="L144" t="s">
        <v>557</v>
      </c>
      <c r="M144">
        <v>9.99</v>
      </c>
      <c r="N144" t="s">
        <v>24</v>
      </c>
      <c r="O144">
        <v>45341.375419548611</v>
      </c>
      <c r="P144" t="s">
        <v>517</v>
      </c>
      <c r="Q144" t="s">
        <v>26</v>
      </c>
      <c r="R144">
        <f t="shared" si="2"/>
        <v>25534.440000000002</v>
      </c>
    </row>
    <row r="145" spans="2:18" x14ac:dyDescent="0.3">
      <c r="B145">
        <v>176666</v>
      </c>
      <c r="C145" t="s">
        <v>16</v>
      </c>
      <c r="D145" t="s">
        <v>32</v>
      </c>
      <c r="E145" t="s">
        <v>18</v>
      </c>
      <c r="F145" t="s">
        <v>17</v>
      </c>
      <c r="G145">
        <v>2852</v>
      </c>
      <c r="H145" t="s">
        <v>19</v>
      </c>
      <c r="I145" t="s">
        <v>558</v>
      </c>
      <c r="J145" t="s">
        <v>559</v>
      </c>
      <c r="K145" t="s">
        <v>560</v>
      </c>
      <c r="L145" t="s">
        <v>561</v>
      </c>
      <c r="M145">
        <v>45.9</v>
      </c>
      <c r="N145" t="s">
        <v>24</v>
      </c>
      <c r="O145">
        <v>45341.375429131942</v>
      </c>
      <c r="P145" t="s">
        <v>517</v>
      </c>
      <c r="Q145" t="s">
        <v>26</v>
      </c>
      <c r="R145">
        <f t="shared" si="2"/>
        <v>130906.8</v>
      </c>
    </row>
    <row r="146" spans="2:18" x14ac:dyDescent="0.3">
      <c r="B146">
        <v>193686</v>
      </c>
      <c r="C146" t="s">
        <v>16</v>
      </c>
      <c r="D146" t="s">
        <v>32</v>
      </c>
      <c r="E146" t="s">
        <v>18</v>
      </c>
      <c r="F146" t="s">
        <v>17</v>
      </c>
      <c r="G146">
        <v>1899</v>
      </c>
      <c r="H146" t="s">
        <v>19</v>
      </c>
      <c r="I146" t="s">
        <v>562</v>
      </c>
      <c r="J146" t="s">
        <v>563</v>
      </c>
      <c r="K146" t="s">
        <v>564</v>
      </c>
      <c r="L146" t="s">
        <v>565</v>
      </c>
      <c r="M146">
        <v>99.9</v>
      </c>
      <c r="N146" t="s">
        <v>24</v>
      </c>
      <c r="O146">
        <v>45341.375435532405</v>
      </c>
      <c r="P146" t="s">
        <v>517</v>
      </c>
      <c r="Q146" t="s">
        <v>26</v>
      </c>
      <c r="R146">
        <f t="shared" si="2"/>
        <v>189710.1</v>
      </c>
    </row>
    <row r="147" spans="2:18" x14ac:dyDescent="0.3">
      <c r="B147">
        <v>163610</v>
      </c>
      <c r="C147" t="s">
        <v>49</v>
      </c>
      <c r="D147" t="s">
        <v>32</v>
      </c>
      <c r="E147" t="s">
        <v>18</v>
      </c>
      <c r="F147" t="s">
        <v>17</v>
      </c>
      <c r="G147">
        <v>2466</v>
      </c>
      <c r="H147" t="s">
        <v>19</v>
      </c>
      <c r="I147" t="s">
        <v>566</v>
      </c>
      <c r="J147" t="s">
        <v>567</v>
      </c>
      <c r="K147" t="s">
        <v>568</v>
      </c>
      <c r="L147" t="s">
        <v>569</v>
      </c>
      <c r="M147">
        <v>89.9</v>
      </c>
      <c r="N147" t="s">
        <v>24</v>
      </c>
      <c r="O147">
        <v>45341.375447118058</v>
      </c>
      <c r="P147" t="s">
        <v>517</v>
      </c>
      <c r="Q147" t="s">
        <v>26</v>
      </c>
      <c r="R147">
        <f t="shared" si="2"/>
        <v>221693.40000000002</v>
      </c>
    </row>
    <row r="148" spans="2:18" x14ac:dyDescent="0.3">
      <c r="B148">
        <v>170364</v>
      </c>
      <c r="C148" t="s">
        <v>16</v>
      </c>
      <c r="D148" t="s">
        <v>17</v>
      </c>
      <c r="E148" t="s">
        <v>18</v>
      </c>
      <c r="F148" t="s">
        <v>17</v>
      </c>
      <c r="G148">
        <v>818</v>
      </c>
      <c r="H148" t="s">
        <v>19</v>
      </c>
      <c r="I148" t="s">
        <v>570</v>
      </c>
      <c r="J148" t="s">
        <v>571</v>
      </c>
      <c r="K148" t="s">
        <v>572</v>
      </c>
      <c r="L148" t="s">
        <v>573</v>
      </c>
      <c r="M148">
        <v>45.9</v>
      </c>
      <c r="N148" t="s">
        <v>24</v>
      </c>
      <c r="O148">
        <v>45341.375455914349</v>
      </c>
      <c r="P148" t="s">
        <v>517</v>
      </c>
      <c r="Q148" t="s">
        <v>26</v>
      </c>
      <c r="R148">
        <f t="shared" si="2"/>
        <v>37546.199999999997</v>
      </c>
    </row>
    <row r="149" spans="2:18" x14ac:dyDescent="0.3">
      <c r="B149">
        <v>167599</v>
      </c>
      <c r="C149" t="s">
        <v>16</v>
      </c>
      <c r="D149" t="s">
        <v>17</v>
      </c>
      <c r="E149" t="s">
        <v>18</v>
      </c>
      <c r="F149" t="s">
        <v>17</v>
      </c>
      <c r="G149">
        <v>1500</v>
      </c>
      <c r="H149" t="s">
        <v>19</v>
      </c>
      <c r="I149" t="s">
        <v>574</v>
      </c>
      <c r="J149" t="s">
        <v>575</v>
      </c>
      <c r="K149" t="s">
        <v>576</v>
      </c>
      <c r="L149" t="s">
        <v>577</v>
      </c>
      <c r="M149">
        <v>59.9</v>
      </c>
      <c r="N149" t="s">
        <v>24</v>
      </c>
      <c r="O149">
        <v>45341.37546815972</v>
      </c>
      <c r="P149" t="s">
        <v>517</v>
      </c>
      <c r="Q149" t="s">
        <v>26</v>
      </c>
      <c r="R149">
        <f t="shared" si="2"/>
        <v>89850</v>
      </c>
    </row>
    <row r="150" spans="2:18" x14ac:dyDescent="0.3">
      <c r="B150">
        <v>166421</v>
      </c>
      <c r="C150" t="s">
        <v>31</v>
      </c>
      <c r="D150" t="s">
        <v>32</v>
      </c>
      <c r="E150" t="s">
        <v>18</v>
      </c>
      <c r="F150" t="s">
        <v>17</v>
      </c>
      <c r="G150">
        <v>2878</v>
      </c>
      <c r="H150" t="s">
        <v>19</v>
      </c>
      <c r="I150" t="s">
        <v>578</v>
      </c>
      <c r="J150" t="s">
        <v>579</v>
      </c>
      <c r="K150" t="s">
        <v>580</v>
      </c>
      <c r="L150" t="s">
        <v>581</v>
      </c>
      <c r="M150">
        <v>79.900000000000006</v>
      </c>
      <c r="N150" t="s">
        <v>24</v>
      </c>
      <c r="O150">
        <v>45341.375482696756</v>
      </c>
      <c r="P150" t="s">
        <v>517</v>
      </c>
      <c r="Q150" t="s">
        <v>26</v>
      </c>
      <c r="R150">
        <f t="shared" si="2"/>
        <v>229952.2</v>
      </c>
    </row>
    <row r="151" spans="2:18" x14ac:dyDescent="0.3">
      <c r="B151">
        <v>129247</v>
      </c>
      <c r="C151" t="s">
        <v>49</v>
      </c>
      <c r="D151" t="s">
        <v>32</v>
      </c>
      <c r="E151" t="s">
        <v>18</v>
      </c>
      <c r="F151" t="s">
        <v>17</v>
      </c>
      <c r="G151">
        <v>2386</v>
      </c>
      <c r="H151" t="s">
        <v>19</v>
      </c>
      <c r="I151" t="s">
        <v>582</v>
      </c>
      <c r="J151" t="s">
        <v>583</v>
      </c>
      <c r="K151" t="s">
        <v>584</v>
      </c>
      <c r="L151" t="s">
        <v>585</v>
      </c>
      <c r="M151">
        <v>69.900000000000006</v>
      </c>
      <c r="N151" t="s">
        <v>24</v>
      </c>
      <c r="O151">
        <v>45341.37549046296</v>
      </c>
      <c r="P151" t="s">
        <v>517</v>
      </c>
      <c r="Q151" t="s">
        <v>26</v>
      </c>
      <c r="R151">
        <f t="shared" si="2"/>
        <v>166781.40000000002</v>
      </c>
    </row>
    <row r="152" spans="2:18" x14ac:dyDescent="0.3">
      <c r="B152">
        <v>127314</v>
      </c>
      <c r="C152" t="s">
        <v>31</v>
      </c>
      <c r="D152" t="s">
        <v>32</v>
      </c>
      <c r="E152" t="s">
        <v>18</v>
      </c>
      <c r="F152" t="s">
        <v>32</v>
      </c>
      <c r="G152">
        <v>2076</v>
      </c>
      <c r="H152" t="s">
        <v>19</v>
      </c>
      <c r="I152" t="s">
        <v>586</v>
      </c>
      <c r="J152" t="s">
        <v>587</v>
      </c>
      <c r="K152" t="s">
        <v>588</v>
      </c>
      <c r="L152" t="s">
        <v>589</v>
      </c>
      <c r="M152">
        <v>99.9</v>
      </c>
      <c r="N152" t="s">
        <v>24</v>
      </c>
      <c r="O152">
        <v>45341.375499374997</v>
      </c>
      <c r="P152" t="s">
        <v>517</v>
      </c>
      <c r="Q152" t="s">
        <v>26</v>
      </c>
      <c r="R152">
        <f t="shared" si="2"/>
        <v>207392.40000000002</v>
      </c>
    </row>
    <row r="153" spans="2:18" x14ac:dyDescent="0.3">
      <c r="B153">
        <v>111979</v>
      </c>
      <c r="C153" t="s">
        <v>49</v>
      </c>
      <c r="D153" t="s">
        <v>17</v>
      </c>
      <c r="E153" t="s">
        <v>18</v>
      </c>
      <c r="F153" t="s">
        <v>17</v>
      </c>
      <c r="G153">
        <v>2734</v>
      </c>
      <c r="H153" t="s">
        <v>19</v>
      </c>
      <c r="I153" t="s">
        <v>590</v>
      </c>
      <c r="J153" t="s">
        <v>591</v>
      </c>
      <c r="K153" t="s">
        <v>592</v>
      </c>
      <c r="L153" t="s">
        <v>593</v>
      </c>
      <c r="M153">
        <v>59.9</v>
      </c>
      <c r="N153" t="s">
        <v>24</v>
      </c>
      <c r="O153">
        <v>45341.375504398151</v>
      </c>
      <c r="P153" t="s">
        <v>517</v>
      </c>
      <c r="Q153" t="s">
        <v>26</v>
      </c>
      <c r="R153">
        <f t="shared" si="2"/>
        <v>163766.6</v>
      </c>
    </row>
    <row r="154" spans="2:18" x14ac:dyDescent="0.3">
      <c r="B154">
        <v>120354</v>
      </c>
      <c r="C154" t="s">
        <v>16</v>
      </c>
      <c r="D154" t="s">
        <v>32</v>
      </c>
      <c r="E154" t="s">
        <v>18</v>
      </c>
      <c r="F154" t="s">
        <v>17</v>
      </c>
      <c r="G154">
        <v>2836</v>
      </c>
      <c r="H154" t="s">
        <v>19</v>
      </c>
      <c r="I154" t="s">
        <v>594</v>
      </c>
      <c r="J154" t="s">
        <v>595</v>
      </c>
      <c r="K154" t="s">
        <v>596</v>
      </c>
      <c r="L154" t="s">
        <v>597</v>
      </c>
      <c r="M154">
        <v>59.9</v>
      </c>
      <c r="N154" t="s">
        <v>24</v>
      </c>
      <c r="O154">
        <v>45341.375514976855</v>
      </c>
      <c r="P154" t="s">
        <v>517</v>
      </c>
      <c r="Q154" t="s">
        <v>26</v>
      </c>
      <c r="R154">
        <f t="shared" si="2"/>
        <v>169876.4</v>
      </c>
    </row>
    <row r="155" spans="2:18" x14ac:dyDescent="0.3">
      <c r="B155">
        <v>144848</v>
      </c>
      <c r="C155" t="s">
        <v>49</v>
      </c>
      <c r="D155" t="s">
        <v>17</v>
      </c>
      <c r="E155" t="s">
        <v>18</v>
      </c>
      <c r="F155" t="s">
        <v>17</v>
      </c>
      <c r="G155">
        <v>2193</v>
      </c>
      <c r="H155" t="s">
        <v>19</v>
      </c>
      <c r="I155" t="s">
        <v>598</v>
      </c>
      <c r="J155" t="s">
        <v>599</v>
      </c>
      <c r="K155" t="s">
        <v>600</v>
      </c>
      <c r="L155" t="s">
        <v>601</v>
      </c>
      <c r="M155">
        <v>89.9</v>
      </c>
      <c r="N155" t="s">
        <v>24</v>
      </c>
      <c r="O155">
        <v>45341.375531655096</v>
      </c>
      <c r="P155" t="s">
        <v>517</v>
      </c>
      <c r="Q155" t="s">
        <v>26</v>
      </c>
      <c r="R155">
        <f t="shared" si="2"/>
        <v>197150.7</v>
      </c>
    </row>
    <row r="156" spans="2:18" x14ac:dyDescent="0.3">
      <c r="B156">
        <v>111957</v>
      </c>
      <c r="C156" t="s">
        <v>16</v>
      </c>
      <c r="D156" t="s">
        <v>32</v>
      </c>
      <c r="E156" t="s">
        <v>18</v>
      </c>
      <c r="F156" t="s">
        <v>17</v>
      </c>
      <c r="G156">
        <v>2164</v>
      </c>
      <c r="H156" t="s">
        <v>19</v>
      </c>
      <c r="I156" t="s">
        <v>602</v>
      </c>
      <c r="J156" t="s">
        <v>603</v>
      </c>
      <c r="K156" t="s">
        <v>604</v>
      </c>
      <c r="L156" t="s">
        <v>605</v>
      </c>
      <c r="M156">
        <v>89.9</v>
      </c>
      <c r="N156" t="s">
        <v>24</v>
      </c>
      <c r="O156">
        <v>45341.375539687499</v>
      </c>
      <c r="P156" t="s">
        <v>517</v>
      </c>
      <c r="Q156" t="s">
        <v>26</v>
      </c>
      <c r="R156">
        <f t="shared" si="2"/>
        <v>194543.6</v>
      </c>
    </row>
    <row r="157" spans="2:18" x14ac:dyDescent="0.3">
      <c r="B157">
        <v>160763</v>
      </c>
      <c r="C157" t="s">
        <v>49</v>
      </c>
      <c r="D157" t="s">
        <v>32</v>
      </c>
      <c r="E157" t="s">
        <v>18</v>
      </c>
      <c r="F157" t="s">
        <v>32</v>
      </c>
      <c r="G157">
        <v>991</v>
      </c>
      <c r="H157" t="s">
        <v>19</v>
      </c>
      <c r="I157" t="s">
        <v>606</v>
      </c>
      <c r="J157" t="s">
        <v>607</v>
      </c>
      <c r="K157" t="s">
        <v>608</v>
      </c>
      <c r="L157" t="s">
        <v>609</v>
      </c>
      <c r="M157">
        <v>45.9</v>
      </c>
      <c r="N157" t="s">
        <v>24</v>
      </c>
      <c r="O157">
        <v>45341.375545844909</v>
      </c>
      <c r="P157" t="s">
        <v>517</v>
      </c>
      <c r="Q157" t="s">
        <v>26</v>
      </c>
      <c r="R157">
        <f t="shared" si="2"/>
        <v>45486.9</v>
      </c>
    </row>
    <row r="158" spans="2:18" x14ac:dyDescent="0.3">
      <c r="B158">
        <v>168270</v>
      </c>
      <c r="C158" t="s">
        <v>31</v>
      </c>
      <c r="D158" t="s">
        <v>32</v>
      </c>
      <c r="E158" t="s">
        <v>18</v>
      </c>
      <c r="F158" t="s">
        <v>32</v>
      </c>
      <c r="G158">
        <v>1525</v>
      </c>
      <c r="H158" t="s">
        <v>19</v>
      </c>
      <c r="I158" t="s">
        <v>610</v>
      </c>
      <c r="J158" t="s">
        <v>611</v>
      </c>
      <c r="K158" t="s">
        <v>544</v>
      </c>
      <c r="L158" t="s">
        <v>612</v>
      </c>
      <c r="M158">
        <v>69.900000000000006</v>
      </c>
      <c r="N158" t="s">
        <v>24</v>
      </c>
      <c r="O158">
        <v>45341.375551886573</v>
      </c>
      <c r="P158" t="s">
        <v>517</v>
      </c>
      <c r="Q158" t="s">
        <v>26</v>
      </c>
      <c r="R158">
        <f t="shared" si="2"/>
        <v>106597.50000000001</v>
      </c>
    </row>
    <row r="159" spans="2:18" x14ac:dyDescent="0.3">
      <c r="B159">
        <v>195082</v>
      </c>
      <c r="C159" t="s">
        <v>49</v>
      </c>
      <c r="D159" t="s">
        <v>17</v>
      </c>
      <c r="E159" t="s">
        <v>18</v>
      </c>
      <c r="F159" t="s">
        <v>17</v>
      </c>
      <c r="G159">
        <v>923</v>
      </c>
      <c r="H159" t="s">
        <v>19</v>
      </c>
      <c r="I159" t="s">
        <v>613</v>
      </c>
      <c r="J159" t="s">
        <v>614</v>
      </c>
      <c r="K159" t="s">
        <v>615</v>
      </c>
      <c r="L159" t="s">
        <v>616</v>
      </c>
      <c r="M159">
        <v>69.900000000000006</v>
      </c>
      <c r="N159" t="s">
        <v>24</v>
      </c>
      <c r="O159">
        <v>45341.375558263891</v>
      </c>
      <c r="P159" t="s">
        <v>517</v>
      </c>
      <c r="Q159" t="s">
        <v>26</v>
      </c>
      <c r="R159">
        <f t="shared" si="2"/>
        <v>64517.700000000004</v>
      </c>
    </row>
    <row r="160" spans="2:18" x14ac:dyDescent="0.3">
      <c r="B160">
        <v>110329</v>
      </c>
      <c r="C160" t="s">
        <v>49</v>
      </c>
      <c r="D160" t="s">
        <v>17</v>
      </c>
      <c r="E160" t="s">
        <v>18</v>
      </c>
      <c r="F160" t="s">
        <v>32</v>
      </c>
      <c r="G160">
        <v>2397</v>
      </c>
      <c r="H160" t="s">
        <v>19</v>
      </c>
      <c r="I160" t="s">
        <v>617</v>
      </c>
      <c r="J160" t="s">
        <v>618</v>
      </c>
      <c r="K160" t="s">
        <v>619</v>
      </c>
      <c r="L160" t="s">
        <v>620</v>
      </c>
      <c r="M160">
        <v>69.900000000000006</v>
      </c>
      <c r="N160" t="s">
        <v>24</v>
      </c>
      <c r="O160">
        <v>45341.375565486109</v>
      </c>
      <c r="P160" t="s">
        <v>517</v>
      </c>
      <c r="Q160" t="s">
        <v>26</v>
      </c>
      <c r="R160">
        <f t="shared" si="2"/>
        <v>167550.30000000002</v>
      </c>
    </row>
    <row r="161" spans="2:18" x14ac:dyDescent="0.3">
      <c r="B161">
        <v>147449</v>
      </c>
      <c r="C161" t="s">
        <v>31</v>
      </c>
      <c r="D161" t="s">
        <v>17</v>
      </c>
      <c r="E161" t="s">
        <v>18</v>
      </c>
      <c r="F161" t="s">
        <v>17</v>
      </c>
      <c r="G161">
        <v>1191</v>
      </c>
      <c r="H161" t="s">
        <v>19</v>
      </c>
      <c r="I161" t="s">
        <v>621</v>
      </c>
      <c r="J161" t="s">
        <v>622</v>
      </c>
      <c r="K161" t="s">
        <v>623</v>
      </c>
      <c r="L161" t="s">
        <v>624</v>
      </c>
      <c r="M161">
        <v>69.900000000000006</v>
      </c>
      <c r="N161" t="s">
        <v>24</v>
      </c>
      <c r="O161">
        <v>45341.375571736113</v>
      </c>
      <c r="P161" t="s">
        <v>517</v>
      </c>
      <c r="Q161" t="s">
        <v>26</v>
      </c>
      <c r="R161">
        <f t="shared" si="2"/>
        <v>83250.900000000009</v>
      </c>
    </row>
    <row r="162" spans="2:18" x14ac:dyDescent="0.3">
      <c r="B162">
        <v>193332</v>
      </c>
      <c r="C162" t="s">
        <v>16</v>
      </c>
      <c r="D162" t="s">
        <v>32</v>
      </c>
      <c r="E162" t="s">
        <v>18</v>
      </c>
      <c r="F162" t="s">
        <v>17</v>
      </c>
      <c r="G162">
        <v>1237</v>
      </c>
      <c r="H162" t="s">
        <v>19</v>
      </c>
      <c r="I162" t="s">
        <v>625</v>
      </c>
      <c r="J162" t="s">
        <v>626</v>
      </c>
      <c r="K162" t="s">
        <v>627</v>
      </c>
      <c r="L162" t="s">
        <v>628</v>
      </c>
      <c r="M162">
        <v>49.9</v>
      </c>
      <c r="N162" t="s">
        <v>24</v>
      </c>
      <c r="O162">
        <v>45341.375577361112</v>
      </c>
      <c r="P162" t="s">
        <v>517</v>
      </c>
      <c r="Q162" t="s">
        <v>26</v>
      </c>
      <c r="R162">
        <f t="shared" si="2"/>
        <v>61726.299999999996</v>
      </c>
    </row>
    <row r="163" spans="2:18" x14ac:dyDescent="0.3">
      <c r="B163">
        <v>146804</v>
      </c>
      <c r="C163" t="s">
        <v>16</v>
      </c>
      <c r="D163" t="s">
        <v>32</v>
      </c>
      <c r="E163" t="s">
        <v>18</v>
      </c>
      <c r="F163" t="s">
        <v>17</v>
      </c>
      <c r="G163">
        <v>1504</v>
      </c>
      <c r="H163" t="s">
        <v>19</v>
      </c>
      <c r="I163" t="s">
        <v>629</v>
      </c>
      <c r="J163" t="s">
        <v>630</v>
      </c>
      <c r="K163" t="s">
        <v>584</v>
      </c>
      <c r="L163" t="s">
        <v>631</v>
      </c>
      <c r="M163">
        <v>69.900000000000006</v>
      </c>
      <c r="N163" t="s">
        <v>24</v>
      </c>
      <c r="O163">
        <v>45341.375596180558</v>
      </c>
      <c r="P163" t="s">
        <v>517</v>
      </c>
      <c r="Q163" t="s">
        <v>26</v>
      </c>
      <c r="R163">
        <f t="shared" si="2"/>
        <v>105129.60000000001</v>
      </c>
    </row>
    <row r="164" spans="2:18" x14ac:dyDescent="0.3">
      <c r="B164">
        <v>188909</v>
      </c>
      <c r="C164" t="s">
        <v>16</v>
      </c>
      <c r="D164" t="s">
        <v>32</v>
      </c>
      <c r="E164" t="s">
        <v>18</v>
      </c>
      <c r="F164" t="s">
        <v>32</v>
      </c>
      <c r="G164">
        <v>2863</v>
      </c>
      <c r="H164" t="s">
        <v>19</v>
      </c>
      <c r="I164" t="s">
        <v>632</v>
      </c>
      <c r="J164" t="s">
        <v>633</v>
      </c>
      <c r="K164" t="s">
        <v>634</v>
      </c>
      <c r="L164" t="s">
        <v>635</v>
      </c>
      <c r="M164">
        <v>39.9</v>
      </c>
      <c r="N164" t="s">
        <v>24</v>
      </c>
      <c r="O164">
        <v>45341.382313391201</v>
      </c>
      <c r="P164" t="s">
        <v>636</v>
      </c>
      <c r="Q164" t="s">
        <v>637</v>
      </c>
      <c r="R164">
        <f t="shared" si="2"/>
        <v>114233.7</v>
      </c>
    </row>
    <row r="165" spans="2:18" x14ac:dyDescent="0.3">
      <c r="B165">
        <v>165910</v>
      </c>
      <c r="C165" t="s">
        <v>31</v>
      </c>
      <c r="D165" t="s">
        <v>32</v>
      </c>
      <c r="E165" t="s">
        <v>18</v>
      </c>
      <c r="F165" t="s">
        <v>17</v>
      </c>
      <c r="G165">
        <v>2760</v>
      </c>
      <c r="H165" t="s">
        <v>19</v>
      </c>
      <c r="I165" t="s">
        <v>638</v>
      </c>
      <c r="J165" t="s">
        <v>639</v>
      </c>
      <c r="K165" t="s">
        <v>640</v>
      </c>
      <c r="L165" t="s">
        <v>641</v>
      </c>
      <c r="M165">
        <v>69.900000000000006</v>
      </c>
      <c r="N165" t="s">
        <v>24</v>
      </c>
      <c r="O165">
        <v>45341.38232099537</v>
      </c>
      <c r="P165" t="s">
        <v>636</v>
      </c>
      <c r="Q165" t="s">
        <v>637</v>
      </c>
      <c r="R165">
        <f t="shared" si="2"/>
        <v>192924.00000000003</v>
      </c>
    </row>
    <row r="166" spans="2:18" x14ac:dyDescent="0.3">
      <c r="B166">
        <v>136738</v>
      </c>
      <c r="C166" t="s">
        <v>49</v>
      </c>
      <c r="D166" t="s">
        <v>17</v>
      </c>
      <c r="E166" t="s">
        <v>18</v>
      </c>
      <c r="F166" t="s">
        <v>32</v>
      </c>
      <c r="G166">
        <v>542</v>
      </c>
      <c r="H166" t="s">
        <v>19</v>
      </c>
      <c r="I166" t="s">
        <v>642</v>
      </c>
      <c r="J166" t="s">
        <v>643</v>
      </c>
      <c r="K166" t="s">
        <v>644</v>
      </c>
      <c r="L166" t="s">
        <v>645</v>
      </c>
      <c r="M166">
        <v>7.99</v>
      </c>
      <c r="N166" t="s">
        <v>24</v>
      </c>
      <c r="O166">
        <v>45341.382327870371</v>
      </c>
      <c r="P166" t="s">
        <v>636</v>
      </c>
      <c r="Q166" t="s">
        <v>637</v>
      </c>
      <c r="R166">
        <f t="shared" si="2"/>
        <v>4330.58</v>
      </c>
    </row>
    <row r="167" spans="2:18" x14ac:dyDescent="0.3">
      <c r="B167">
        <v>144497</v>
      </c>
      <c r="C167" t="s">
        <v>31</v>
      </c>
      <c r="D167" t="s">
        <v>32</v>
      </c>
      <c r="E167" t="s">
        <v>18</v>
      </c>
      <c r="F167" t="s">
        <v>32</v>
      </c>
      <c r="G167">
        <v>1105</v>
      </c>
      <c r="H167" t="s">
        <v>19</v>
      </c>
      <c r="I167" t="s">
        <v>646</v>
      </c>
      <c r="J167" t="s">
        <v>647</v>
      </c>
      <c r="K167" t="s">
        <v>648</v>
      </c>
      <c r="L167" t="s">
        <v>649</v>
      </c>
      <c r="M167">
        <v>49.9</v>
      </c>
      <c r="N167" t="s">
        <v>24</v>
      </c>
      <c r="O167">
        <v>45341.382336689814</v>
      </c>
      <c r="P167" t="s">
        <v>636</v>
      </c>
      <c r="Q167" t="s">
        <v>637</v>
      </c>
      <c r="R167">
        <f t="shared" si="2"/>
        <v>55139.5</v>
      </c>
    </row>
    <row r="168" spans="2:18" x14ac:dyDescent="0.3">
      <c r="B168">
        <v>135036</v>
      </c>
      <c r="C168" t="s">
        <v>31</v>
      </c>
      <c r="D168" t="s">
        <v>32</v>
      </c>
      <c r="E168" t="s">
        <v>18</v>
      </c>
      <c r="F168" t="s">
        <v>17</v>
      </c>
      <c r="G168">
        <v>1435</v>
      </c>
      <c r="H168" t="s">
        <v>19</v>
      </c>
      <c r="I168" t="s">
        <v>650</v>
      </c>
      <c r="J168" t="s">
        <v>651</v>
      </c>
      <c r="K168" t="s">
        <v>652</v>
      </c>
      <c r="L168" t="s">
        <v>653</v>
      </c>
      <c r="M168">
        <v>49.9</v>
      </c>
      <c r="N168" t="s">
        <v>24</v>
      </c>
      <c r="O168">
        <v>45341.382343993057</v>
      </c>
      <c r="P168" t="s">
        <v>636</v>
      </c>
      <c r="Q168" t="s">
        <v>637</v>
      </c>
      <c r="R168">
        <f t="shared" si="2"/>
        <v>71606.5</v>
      </c>
    </row>
    <row r="169" spans="2:18" x14ac:dyDescent="0.3">
      <c r="B169">
        <v>166331</v>
      </c>
      <c r="C169" t="s">
        <v>16</v>
      </c>
      <c r="D169" t="s">
        <v>32</v>
      </c>
      <c r="E169" t="s">
        <v>18</v>
      </c>
      <c r="F169" t="s">
        <v>32</v>
      </c>
      <c r="G169">
        <v>2877</v>
      </c>
      <c r="H169" t="s">
        <v>19</v>
      </c>
      <c r="I169" t="s">
        <v>654</v>
      </c>
      <c r="J169" t="s">
        <v>655</v>
      </c>
      <c r="K169" t="s">
        <v>656</v>
      </c>
      <c r="L169" t="s">
        <v>657</v>
      </c>
      <c r="M169">
        <v>59.9</v>
      </c>
      <c r="N169" t="s">
        <v>24</v>
      </c>
      <c r="O169">
        <v>45341.382350324071</v>
      </c>
      <c r="P169" t="s">
        <v>636</v>
      </c>
      <c r="Q169" t="s">
        <v>637</v>
      </c>
      <c r="R169">
        <f t="shared" si="2"/>
        <v>172332.3</v>
      </c>
    </row>
    <row r="170" spans="2:18" x14ac:dyDescent="0.3">
      <c r="B170">
        <v>139789</v>
      </c>
      <c r="C170" t="s">
        <v>16</v>
      </c>
      <c r="D170" t="s">
        <v>17</v>
      </c>
      <c r="E170" t="s">
        <v>18</v>
      </c>
      <c r="F170" t="s">
        <v>32</v>
      </c>
      <c r="G170">
        <v>1094</v>
      </c>
      <c r="H170" t="s">
        <v>19</v>
      </c>
      <c r="I170" t="s">
        <v>658</v>
      </c>
      <c r="J170" t="s">
        <v>659</v>
      </c>
      <c r="K170" t="s">
        <v>660</v>
      </c>
      <c r="L170" t="s">
        <v>661</v>
      </c>
      <c r="M170">
        <v>69.900000000000006</v>
      </c>
      <c r="N170" t="s">
        <v>24</v>
      </c>
      <c r="O170">
        <v>45341.382356956019</v>
      </c>
      <c r="P170" t="s">
        <v>636</v>
      </c>
      <c r="Q170" t="s">
        <v>637</v>
      </c>
      <c r="R170">
        <f t="shared" si="2"/>
        <v>76470.600000000006</v>
      </c>
    </row>
    <row r="171" spans="2:18" x14ac:dyDescent="0.3">
      <c r="B171">
        <v>118569</v>
      </c>
      <c r="C171" t="s">
        <v>16</v>
      </c>
      <c r="D171" t="s">
        <v>17</v>
      </c>
      <c r="E171" t="s">
        <v>18</v>
      </c>
      <c r="F171" t="s">
        <v>32</v>
      </c>
      <c r="G171">
        <v>994</v>
      </c>
      <c r="H171" t="s">
        <v>19</v>
      </c>
      <c r="I171" t="s">
        <v>662</v>
      </c>
      <c r="J171" t="s">
        <v>663</v>
      </c>
      <c r="K171" t="s">
        <v>664</v>
      </c>
      <c r="L171" t="s">
        <v>665</v>
      </c>
      <c r="M171">
        <v>49.9</v>
      </c>
      <c r="N171" t="s">
        <v>24</v>
      </c>
      <c r="O171">
        <v>45341.382362870369</v>
      </c>
      <c r="P171" t="s">
        <v>636</v>
      </c>
      <c r="Q171" t="s">
        <v>637</v>
      </c>
      <c r="R171">
        <f t="shared" si="2"/>
        <v>49600.6</v>
      </c>
    </row>
    <row r="172" spans="2:18" x14ac:dyDescent="0.3">
      <c r="B172">
        <v>155848</v>
      </c>
      <c r="C172" t="s">
        <v>31</v>
      </c>
      <c r="D172" t="s">
        <v>32</v>
      </c>
      <c r="E172" t="s">
        <v>18</v>
      </c>
      <c r="F172" t="s">
        <v>17</v>
      </c>
      <c r="G172">
        <v>1942</v>
      </c>
      <c r="H172" t="s">
        <v>19</v>
      </c>
      <c r="I172" t="s">
        <v>666</v>
      </c>
      <c r="J172" t="s">
        <v>667</v>
      </c>
      <c r="K172" t="s">
        <v>668</v>
      </c>
      <c r="L172" t="s">
        <v>669</v>
      </c>
      <c r="M172">
        <v>49.9</v>
      </c>
      <c r="N172" t="s">
        <v>24</v>
      </c>
      <c r="O172">
        <v>45341.382370821761</v>
      </c>
      <c r="P172" t="s">
        <v>636</v>
      </c>
      <c r="Q172" t="s">
        <v>637</v>
      </c>
      <c r="R172">
        <f t="shared" si="2"/>
        <v>96905.8</v>
      </c>
    </row>
    <row r="173" spans="2:18" x14ac:dyDescent="0.3">
      <c r="B173">
        <v>152563</v>
      </c>
      <c r="C173" t="s">
        <v>49</v>
      </c>
      <c r="D173" t="s">
        <v>17</v>
      </c>
      <c r="E173" t="s">
        <v>18</v>
      </c>
      <c r="F173" t="s">
        <v>32</v>
      </c>
      <c r="G173">
        <v>2572</v>
      </c>
      <c r="H173" t="s">
        <v>19</v>
      </c>
      <c r="I173" t="s">
        <v>670</v>
      </c>
      <c r="J173" t="s">
        <v>671</v>
      </c>
      <c r="K173" t="s">
        <v>672</v>
      </c>
      <c r="L173" t="s">
        <v>673</v>
      </c>
      <c r="M173">
        <v>169</v>
      </c>
      <c r="N173" t="s">
        <v>24</v>
      </c>
      <c r="O173">
        <v>45341.382378287039</v>
      </c>
      <c r="P173" t="s">
        <v>636</v>
      </c>
      <c r="Q173" t="s">
        <v>637</v>
      </c>
      <c r="R173">
        <f t="shared" si="2"/>
        <v>434668</v>
      </c>
    </row>
    <row r="174" spans="2:18" x14ac:dyDescent="0.3">
      <c r="B174">
        <v>115153</v>
      </c>
      <c r="C174" t="s">
        <v>16</v>
      </c>
      <c r="D174" t="s">
        <v>17</v>
      </c>
      <c r="E174" t="s">
        <v>18</v>
      </c>
      <c r="F174" t="s">
        <v>17</v>
      </c>
      <c r="G174">
        <v>1736</v>
      </c>
      <c r="H174" t="s">
        <v>19</v>
      </c>
      <c r="I174" t="s">
        <v>674</v>
      </c>
      <c r="J174" t="s">
        <v>675</v>
      </c>
      <c r="K174" t="s">
        <v>676</v>
      </c>
      <c r="L174" t="s">
        <v>677</v>
      </c>
      <c r="M174">
        <v>79.900000000000006</v>
      </c>
      <c r="N174" t="s">
        <v>24</v>
      </c>
      <c r="O174">
        <v>45341.382388449078</v>
      </c>
      <c r="P174" t="s">
        <v>636</v>
      </c>
      <c r="Q174" t="s">
        <v>637</v>
      </c>
      <c r="R174">
        <f t="shared" si="2"/>
        <v>138706.40000000002</v>
      </c>
    </row>
    <row r="175" spans="2:18" x14ac:dyDescent="0.3">
      <c r="B175">
        <v>125938</v>
      </c>
      <c r="C175" t="s">
        <v>16</v>
      </c>
      <c r="D175" t="s">
        <v>32</v>
      </c>
      <c r="E175" t="s">
        <v>18</v>
      </c>
      <c r="F175" t="s">
        <v>32</v>
      </c>
      <c r="G175">
        <v>1204</v>
      </c>
      <c r="H175" t="s">
        <v>19</v>
      </c>
      <c r="I175" t="s">
        <v>678</v>
      </c>
      <c r="J175" t="s">
        <v>679</v>
      </c>
      <c r="K175" t="s">
        <v>680</v>
      </c>
      <c r="L175" t="s">
        <v>681</v>
      </c>
      <c r="M175">
        <v>49.9</v>
      </c>
      <c r="N175" t="s">
        <v>24</v>
      </c>
      <c r="O175">
        <v>45341.382394490742</v>
      </c>
      <c r="P175" t="s">
        <v>636</v>
      </c>
      <c r="Q175" t="s">
        <v>637</v>
      </c>
      <c r="R175">
        <f t="shared" si="2"/>
        <v>60079.6</v>
      </c>
    </row>
    <row r="176" spans="2:18" x14ac:dyDescent="0.3">
      <c r="B176">
        <v>122809</v>
      </c>
      <c r="C176" t="s">
        <v>31</v>
      </c>
      <c r="D176" t="s">
        <v>17</v>
      </c>
      <c r="E176" t="s">
        <v>18</v>
      </c>
      <c r="F176" t="s">
        <v>32</v>
      </c>
      <c r="G176">
        <v>1592</v>
      </c>
      <c r="H176" t="s">
        <v>19</v>
      </c>
      <c r="I176" t="s">
        <v>682</v>
      </c>
      <c r="J176" t="s">
        <v>683</v>
      </c>
      <c r="K176" t="s">
        <v>684</v>
      </c>
      <c r="L176" t="s">
        <v>685</v>
      </c>
      <c r="M176">
        <v>49.9</v>
      </c>
      <c r="N176" t="s">
        <v>24</v>
      </c>
      <c r="O176">
        <v>45341.382400636576</v>
      </c>
      <c r="P176" t="s">
        <v>636</v>
      </c>
      <c r="Q176" t="s">
        <v>637</v>
      </c>
      <c r="R176">
        <f t="shared" si="2"/>
        <v>79440.800000000003</v>
      </c>
    </row>
    <row r="177" spans="2:18" x14ac:dyDescent="0.3">
      <c r="B177">
        <v>181502</v>
      </c>
      <c r="C177" t="s">
        <v>49</v>
      </c>
      <c r="D177" t="s">
        <v>32</v>
      </c>
      <c r="E177" t="s">
        <v>18</v>
      </c>
      <c r="F177" t="s">
        <v>17</v>
      </c>
      <c r="G177">
        <v>2591</v>
      </c>
      <c r="H177" t="s">
        <v>19</v>
      </c>
      <c r="I177" t="s">
        <v>686</v>
      </c>
      <c r="J177" t="s">
        <v>687</v>
      </c>
      <c r="K177" t="s">
        <v>688</v>
      </c>
      <c r="L177" t="s">
        <v>689</v>
      </c>
      <c r="M177">
        <v>39.9</v>
      </c>
      <c r="N177" t="s">
        <v>24</v>
      </c>
      <c r="O177">
        <v>45341.382406377314</v>
      </c>
      <c r="P177" t="s">
        <v>636</v>
      </c>
      <c r="Q177" t="s">
        <v>637</v>
      </c>
      <c r="R177">
        <f t="shared" si="2"/>
        <v>103380.9</v>
      </c>
    </row>
    <row r="178" spans="2:18" x14ac:dyDescent="0.3">
      <c r="B178">
        <v>182779</v>
      </c>
      <c r="C178" t="s">
        <v>31</v>
      </c>
      <c r="D178" t="s">
        <v>32</v>
      </c>
      <c r="E178" t="s">
        <v>18</v>
      </c>
      <c r="F178" t="s">
        <v>32</v>
      </c>
      <c r="G178">
        <v>2097</v>
      </c>
      <c r="H178" t="s">
        <v>19</v>
      </c>
      <c r="I178" t="s">
        <v>690</v>
      </c>
      <c r="J178" t="s">
        <v>691</v>
      </c>
      <c r="K178" t="s">
        <v>692</v>
      </c>
      <c r="L178" t="s">
        <v>693</v>
      </c>
      <c r="M178">
        <v>35.9</v>
      </c>
      <c r="N178" t="s">
        <v>24</v>
      </c>
      <c r="O178">
        <v>45341.38241528935</v>
      </c>
      <c r="P178" t="s">
        <v>636</v>
      </c>
      <c r="Q178" t="s">
        <v>637</v>
      </c>
      <c r="R178">
        <f t="shared" si="2"/>
        <v>75282.3</v>
      </c>
    </row>
    <row r="179" spans="2:18" x14ac:dyDescent="0.3">
      <c r="B179">
        <v>155674</v>
      </c>
      <c r="C179" t="s">
        <v>49</v>
      </c>
      <c r="D179" t="s">
        <v>17</v>
      </c>
      <c r="E179" t="s">
        <v>18</v>
      </c>
      <c r="F179" t="s">
        <v>17</v>
      </c>
      <c r="G179">
        <v>897</v>
      </c>
      <c r="H179" t="s">
        <v>19</v>
      </c>
      <c r="I179" t="s">
        <v>694</v>
      </c>
      <c r="J179" t="s">
        <v>695</v>
      </c>
      <c r="K179" t="s">
        <v>696</v>
      </c>
      <c r="L179" t="s">
        <v>697</v>
      </c>
      <c r="M179">
        <v>49.9</v>
      </c>
      <c r="N179" t="s">
        <v>24</v>
      </c>
      <c r="O179">
        <v>45341.382424988427</v>
      </c>
      <c r="P179" t="s">
        <v>636</v>
      </c>
      <c r="Q179" t="s">
        <v>637</v>
      </c>
      <c r="R179">
        <f t="shared" si="2"/>
        <v>44760.299999999996</v>
      </c>
    </row>
    <row r="180" spans="2:18" x14ac:dyDescent="0.3">
      <c r="B180">
        <v>182866</v>
      </c>
      <c r="C180" t="s">
        <v>16</v>
      </c>
      <c r="D180" t="s">
        <v>17</v>
      </c>
      <c r="E180" t="s">
        <v>18</v>
      </c>
      <c r="F180" t="s">
        <v>32</v>
      </c>
      <c r="G180">
        <v>1552</v>
      </c>
      <c r="H180" t="s">
        <v>19</v>
      </c>
      <c r="I180" t="s">
        <v>698</v>
      </c>
      <c r="J180" t="s">
        <v>699</v>
      </c>
      <c r="K180" t="s">
        <v>700</v>
      </c>
      <c r="L180" t="s">
        <v>701</v>
      </c>
      <c r="M180">
        <v>39.9</v>
      </c>
      <c r="N180" t="s">
        <v>24</v>
      </c>
      <c r="O180">
        <v>45341.382430740741</v>
      </c>
      <c r="P180" t="s">
        <v>636</v>
      </c>
      <c r="Q180" t="s">
        <v>637</v>
      </c>
      <c r="R180">
        <f t="shared" si="2"/>
        <v>61924.799999999996</v>
      </c>
    </row>
    <row r="181" spans="2:18" x14ac:dyDescent="0.3">
      <c r="B181">
        <v>148230</v>
      </c>
      <c r="C181" t="s">
        <v>49</v>
      </c>
      <c r="D181" t="s">
        <v>32</v>
      </c>
      <c r="E181" t="s">
        <v>18</v>
      </c>
      <c r="F181" t="s">
        <v>17</v>
      </c>
      <c r="G181">
        <v>2494</v>
      </c>
      <c r="H181" t="s">
        <v>19</v>
      </c>
      <c r="I181" t="s">
        <v>702</v>
      </c>
      <c r="J181" t="s">
        <v>703</v>
      </c>
      <c r="K181" t="s">
        <v>704</v>
      </c>
      <c r="L181" t="s">
        <v>705</v>
      </c>
      <c r="M181">
        <v>59.9</v>
      </c>
      <c r="N181" t="s">
        <v>24</v>
      </c>
      <c r="O181">
        <v>45341.382437418979</v>
      </c>
      <c r="P181" t="s">
        <v>636</v>
      </c>
      <c r="Q181" t="s">
        <v>637</v>
      </c>
      <c r="R181">
        <f t="shared" si="2"/>
        <v>149390.6</v>
      </c>
    </row>
    <row r="182" spans="2:18" x14ac:dyDescent="0.3">
      <c r="B182">
        <v>126979</v>
      </c>
      <c r="C182" t="s">
        <v>49</v>
      </c>
      <c r="D182" t="s">
        <v>17</v>
      </c>
      <c r="E182" t="s">
        <v>18</v>
      </c>
      <c r="F182" t="s">
        <v>17</v>
      </c>
      <c r="G182">
        <v>2141</v>
      </c>
      <c r="H182" t="s">
        <v>19</v>
      </c>
      <c r="I182" t="s">
        <v>706</v>
      </c>
      <c r="J182" t="s">
        <v>707</v>
      </c>
      <c r="K182" t="s">
        <v>708</v>
      </c>
      <c r="L182" t="s">
        <v>709</v>
      </c>
      <c r="M182">
        <v>49.9</v>
      </c>
      <c r="N182" t="s">
        <v>24</v>
      </c>
      <c r="O182">
        <v>45341.382446516203</v>
      </c>
      <c r="P182" t="s">
        <v>636</v>
      </c>
      <c r="Q182" t="s">
        <v>637</v>
      </c>
      <c r="R182">
        <f t="shared" si="2"/>
        <v>106835.9</v>
      </c>
    </row>
    <row r="183" spans="2:18" x14ac:dyDescent="0.3">
      <c r="B183">
        <v>135521</v>
      </c>
      <c r="C183" t="s">
        <v>31</v>
      </c>
      <c r="D183" t="s">
        <v>17</v>
      </c>
      <c r="E183" t="s">
        <v>18</v>
      </c>
      <c r="F183" t="s">
        <v>32</v>
      </c>
      <c r="G183">
        <v>2835</v>
      </c>
      <c r="H183" t="s">
        <v>19</v>
      </c>
      <c r="I183" t="s">
        <v>710</v>
      </c>
      <c r="J183" t="s">
        <v>711</v>
      </c>
      <c r="K183" t="s">
        <v>712</v>
      </c>
      <c r="L183" t="s">
        <v>713</v>
      </c>
      <c r="M183">
        <v>39.9</v>
      </c>
      <c r="N183" t="s">
        <v>24</v>
      </c>
      <c r="O183">
        <v>45341.382452349535</v>
      </c>
      <c r="P183" t="s">
        <v>636</v>
      </c>
      <c r="Q183" t="s">
        <v>637</v>
      </c>
      <c r="R183">
        <f t="shared" si="2"/>
        <v>113116.5</v>
      </c>
    </row>
    <row r="184" spans="2:18" x14ac:dyDescent="0.3">
      <c r="B184">
        <v>185809</v>
      </c>
      <c r="C184" t="s">
        <v>31</v>
      </c>
      <c r="D184" t="s">
        <v>17</v>
      </c>
      <c r="E184" t="s">
        <v>18</v>
      </c>
      <c r="F184" t="s">
        <v>17</v>
      </c>
      <c r="G184">
        <v>622</v>
      </c>
      <c r="H184" t="s">
        <v>19</v>
      </c>
      <c r="I184" t="s">
        <v>714</v>
      </c>
      <c r="J184" t="s">
        <v>715</v>
      </c>
      <c r="K184" t="s">
        <v>716</v>
      </c>
      <c r="L184" t="s">
        <v>717</v>
      </c>
      <c r="M184">
        <v>49.9</v>
      </c>
      <c r="N184" t="s">
        <v>24</v>
      </c>
      <c r="O184">
        <v>45341.382459062501</v>
      </c>
      <c r="P184" t="s">
        <v>636</v>
      </c>
      <c r="Q184" t="s">
        <v>637</v>
      </c>
      <c r="R184">
        <f t="shared" si="2"/>
        <v>31037.8</v>
      </c>
    </row>
    <row r="185" spans="2:18" x14ac:dyDescent="0.3">
      <c r="B185">
        <v>171520</v>
      </c>
      <c r="C185" t="s">
        <v>31</v>
      </c>
      <c r="D185" t="s">
        <v>32</v>
      </c>
      <c r="E185" t="s">
        <v>18</v>
      </c>
      <c r="F185" t="s">
        <v>32</v>
      </c>
      <c r="G185">
        <v>2901</v>
      </c>
      <c r="H185" t="s">
        <v>19</v>
      </c>
      <c r="I185" t="s">
        <v>718</v>
      </c>
      <c r="J185" t="s">
        <v>719</v>
      </c>
      <c r="K185" t="s">
        <v>720</v>
      </c>
      <c r="L185" t="s">
        <v>721</v>
      </c>
      <c r="M185">
        <v>47.9</v>
      </c>
      <c r="N185" t="s">
        <v>24</v>
      </c>
      <c r="O185">
        <v>45341.382465381947</v>
      </c>
      <c r="P185" t="s">
        <v>636</v>
      </c>
      <c r="Q185" t="s">
        <v>637</v>
      </c>
      <c r="R185">
        <f t="shared" si="2"/>
        <v>138957.9</v>
      </c>
    </row>
    <row r="186" spans="2:18" x14ac:dyDescent="0.3">
      <c r="B186">
        <v>122926</v>
      </c>
      <c r="C186" t="s">
        <v>31</v>
      </c>
      <c r="D186" t="s">
        <v>17</v>
      </c>
      <c r="E186" t="s">
        <v>18</v>
      </c>
      <c r="F186" t="s">
        <v>17</v>
      </c>
      <c r="G186">
        <v>867</v>
      </c>
      <c r="H186" t="s">
        <v>19</v>
      </c>
      <c r="I186" t="s">
        <v>722</v>
      </c>
      <c r="J186" t="s">
        <v>723</v>
      </c>
      <c r="K186" t="s">
        <v>724</v>
      </c>
      <c r="L186" t="s">
        <v>725</v>
      </c>
      <c r="M186">
        <v>45.9</v>
      </c>
      <c r="N186" t="s">
        <v>24</v>
      </c>
      <c r="O186">
        <v>45341.382472581019</v>
      </c>
      <c r="P186" t="s">
        <v>636</v>
      </c>
      <c r="Q186" t="s">
        <v>637</v>
      </c>
      <c r="R186">
        <f t="shared" si="2"/>
        <v>39795.299999999996</v>
      </c>
    </row>
    <row r="187" spans="2:18" x14ac:dyDescent="0.3">
      <c r="B187">
        <v>150953</v>
      </c>
      <c r="C187" t="s">
        <v>49</v>
      </c>
      <c r="D187" t="s">
        <v>32</v>
      </c>
      <c r="E187" t="s">
        <v>18</v>
      </c>
      <c r="F187" t="s">
        <v>32</v>
      </c>
      <c r="G187">
        <v>2434</v>
      </c>
      <c r="H187" t="s">
        <v>19</v>
      </c>
      <c r="I187" t="s">
        <v>726</v>
      </c>
      <c r="J187" t="s">
        <v>727</v>
      </c>
      <c r="K187" t="s">
        <v>728</v>
      </c>
      <c r="L187" t="s">
        <v>729</v>
      </c>
      <c r="M187">
        <v>35.9</v>
      </c>
      <c r="N187" t="s">
        <v>24</v>
      </c>
      <c r="O187">
        <v>45341.382478252315</v>
      </c>
      <c r="P187" t="s">
        <v>636</v>
      </c>
      <c r="Q187" t="s">
        <v>637</v>
      </c>
      <c r="R187">
        <f t="shared" si="2"/>
        <v>87380.599999999991</v>
      </c>
    </row>
    <row r="188" spans="2:18" x14ac:dyDescent="0.3">
      <c r="B188">
        <v>115873</v>
      </c>
      <c r="C188" t="s">
        <v>31</v>
      </c>
      <c r="D188" t="s">
        <v>32</v>
      </c>
      <c r="E188" t="s">
        <v>18</v>
      </c>
      <c r="F188" t="s">
        <v>32</v>
      </c>
      <c r="G188">
        <v>2606</v>
      </c>
      <c r="H188" t="s">
        <v>19</v>
      </c>
      <c r="I188" t="s">
        <v>730</v>
      </c>
      <c r="J188" t="s">
        <v>731</v>
      </c>
      <c r="K188" t="s">
        <v>732</v>
      </c>
      <c r="L188" t="s">
        <v>733</v>
      </c>
      <c r="M188">
        <v>59.9</v>
      </c>
      <c r="N188" t="s">
        <v>24</v>
      </c>
      <c r="O188">
        <v>45341.382484050926</v>
      </c>
      <c r="P188" t="s">
        <v>636</v>
      </c>
      <c r="Q188" t="s">
        <v>637</v>
      </c>
      <c r="R188">
        <f t="shared" si="2"/>
        <v>156099.4</v>
      </c>
    </row>
    <row r="189" spans="2:18" x14ac:dyDescent="0.3">
      <c r="B189">
        <v>115581</v>
      </c>
      <c r="C189" t="s">
        <v>16</v>
      </c>
      <c r="D189" t="s">
        <v>17</v>
      </c>
      <c r="E189" t="s">
        <v>18</v>
      </c>
      <c r="F189" t="s">
        <v>32</v>
      </c>
      <c r="G189">
        <v>2728</v>
      </c>
      <c r="H189" t="s">
        <v>19</v>
      </c>
      <c r="I189" t="s">
        <v>734</v>
      </c>
      <c r="J189" t="s">
        <v>735</v>
      </c>
      <c r="K189" t="s">
        <v>736</v>
      </c>
      <c r="L189" t="s">
        <v>737</v>
      </c>
      <c r="M189">
        <v>47.9</v>
      </c>
      <c r="N189" t="s">
        <v>24</v>
      </c>
      <c r="O189">
        <v>45341.382492372686</v>
      </c>
      <c r="P189" t="s">
        <v>636</v>
      </c>
      <c r="Q189" t="s">
        <v>637</v>
      </c>
      <c r="R189">
        <f t="shared" si="2"/>
        <v>130671.2</v>
      </c>
    </row>
    <row r="190" spans="2:18" x14ac:dyDescent="0.3">
      <c r="B190">
        <v>183634</v>
      </c>
      <c r="C190" t="s">
        <v>49</v>
      </c>
      <c r="D190" t="s">
        <v>32</v>
      </c>
      <c r="E190" t="s">
        <v>18</v>
      </c>
      <c r="F190" t="s">
        <v>32</v>
      </c>
      <c r="G190">
        <v>2778</v>
      </c>
      <c r="H190" t="s">
        <v>19</v>
      </c>
      <c r="I190" t="s">
        <v>738</v>
      </c>
      <c r="J190" t="s">
        <v>739</v>
      </c>
      <c r="K190" t="s">
        <v>740</v>
      </c>
      <c r="L190" t="s">
        <v>741</v>
      </c>
      <c r="M190">
        <v>27.9</v>
      </c>
      <c r="N190" t="s">
        <v>24</v>
      </c>
      <c r="O190">
        <v>45341.382501006941</v>
      </c>
      <c r="P190" t="s">
        <v>636</v>
      </c>
      <c r="Q190" t="s">
        <v>637</v>
      </c>
      <c r="R190">
        <f t="shared" si="2"/>
        <v>77506.2</v>
      </c>
    </row>
    <row r="191" spans="2:18" x14ac:dyDescent="0.3">
      <c r="B191">
        <v>122484</v>
      </c>
      <c r="C191" t="s">
        <v>16</v>
      </c>
      <c r="D191" t="s">
        <v>32</v>
      </c>
      <c r="E191" t="s">
        <v>18</v>
      </c>
      <c r="F191" t="s">
        <v>32</v>
      </c>
      <c r="G191">
        <v>558</v>
      </c>
      <c r="H191" t="s">
        <v>19</v>
      </c>
      <c r="I191" t="s">
        <v>742</v>
      </c>
      <c r="J191" t="s">
        <v>743</v>
      </c>
      <c r="K191" t="s">
        <v>744</v>
      </c>
      <c r="L191" t="s">
        <v>745</v>
      </c>
      <c r="M191">
        <v>47.9</v>
      </c>
      <c r="N191" t="s">
        <v>24</v>
      </c>
      <c r="O191">
        <v>45341.38250832176</v>
      </c>
      <c r="P191" t="s">
        <v>636</v>
      </c>
      <c r="Q191" t="s">
        <v>637</v>
      </c>
      <c r="R191">
        <f t="shared" si="2"/>
        <v>26728.2</v>
      </c>
    </row>
    <row r="192" spans="2:18" x14ac:dyDescent="0.3">
      <c r="B192">
        <v>183574</v>
      </c>
      <c r="C192" t="s">
        <v>16</v>
      </c>
      <c r="D192" t="s">
        <v>32</v>
      </c>
      <c r="E192" t="s">
        <v>18</v>
      </c>
      <c r="F192" t="s">
        <v>32</v>
      </c>
      <c r="G192">
        <v>1752</v>
      </c>
      <c r="H192" t="s">
        <v>19</v>
      </c>
      <c r="I192" t="s">
        <v>746</v>
      </c>
      <c r="J192" t="s">
        <v>747</v>
      </c>
      <c r="K192" t="s">
        <v>748</v>
      </c>
      <c r="L192" t="s">
        <v>749</v>
      </c>
      <c r="M192">
        <v>47.9</v>
      </c>
      <c r="N192" t="s">
        <v>24</v>
      </c>
      <c r="O192">
        <v>45341.382514872683</v>
      </c>
      <c r="P192" t="s">
        <v>636</v>
      </c>
      <c r="Q192" t="s">
        <v>637</v>
      </c>
      <c r="R192">
        <f t="shared" si="2"/>
        <v>83920.8</v>
      </c>
    </row>
    <row r="193" spans="2:18" x14ac:dyDescent="0.3">
      <c r="B193">
        <v>185307</v>
      </c>
      <c r="C193" t="s">
        <v>49</v>
      </c>
      <c r="D193" t="s">
        <v>17</v>
      </c>
      <c r="E193" t="s">
        <v>18</v>
      </c>
      <c r="F193" t="s">
        <v>32</v>
      </c>
      <c r="G193">
        <v>2743</v>
      </c>
      <c r="H193" t="s">
        <v>19</v>
      </c>
      <c r="I193" t="s">
        <v>750</v>
      </c>
      <c r="J193" t="s">
        <v>751</v>
      </c>
      <c r="K193" t="s">
        <v>752</v>
      </c>
      <c r="L193" t="s">
        <v>753</v>
      </c>
      <c r="M193">
        <v>7.99</v>
      </c>
      <c r="N193" t="s">
        <v>24</v>
      </c>
      <c r="O193">
        <v>45341.382522141204</v>
      </c>
      <c r="P193" t="s">
        <v>636</v>
      </c>
      <c r="Q193" t="s">
        <v>637</v>
      </c>
      <c r="R193">
        <f t="shared" si="2"/>
        <v>21916.57</v>
      </c>
    </row>
    <row r="194" spans="2:18" x14ac:dyDescent="0.3">
      <c r="B194">
        <v>118719</v>
      </c>
      <c r="C194" t="s">
        <v>31</v>
      </c>
      <c r="D194" t="s">
        <v>17</v>
      </c>
      <c r="E194" t="s">
        <v>18</v>
      </c>
      <c r="F194" t="s">
        <v>32</v>
      </c>
      <c r="G194">
        <v>1669</v>
      </c>
      <c r="H194" t="s">
        <v>19</v>
      </c>
      <c r="I194" t="s">
        <v>754</v>
      </c>
      <c r="J194" t="s">
        <v>755</v>
      </c>
      <c r="K194" t="s">
        <v>756</v>
      </c>
      <c r="L194" t="s">
        <v>757</v>
      </c>
      <c r="M194">
        <v>45.9</v>
      </c>
      <c r="N194" t="s">
        <v>24</v>
      </c>
      <c r="O194">
        <v>45341.38253023148</v>
      </c>
      <c r="P194" t="s">
        <v>636</v>
      </c>
      <c r="Q194" t="s">
        <v>637</v>
      </c>
      <c r="R194">
        <f t="shared" si="2"/>
        <v>76607.099999999991</v>
      </c>
    </row>
    <row r="195" spans="2:18" x14ac:dyDescent="0.3">
      <c r="B195">
        <v>134788</v>
      </c>
      <c r="C195" t="s">
        <v>49</v>
      </c>
      <c r="D195" t="s">
        <v>17</v>
      </c>
      <c r="E195" t="s">
        <v>18</v>
      </c>
      <c r="F195" t="s">
        <v>17</v>
      </c>
      <c r="G195">
        <v>2179</v>
      </c>
      <c r="H195" t="s">
        <v>19</v>
      </c>
      <c r="I195" t="s">
        <v>758</v>
      </c>
      <c r="J195" t="s">
        <v>759</v>
      </c>
      <c r="K195" t="s">
        <v>760</v>
      </c>
      <c r="L195" t="s">
        <v>761</v>
      </c>
      <c r="M195">
        <v>45.9</v>
      </c>
      <c r="N195" t="s">
        <v>24</v>
      </c>
      <c r="O195">
        <v>45341.382536909725</v>
      </c>
      <c r="P195" t="s">
        <v>636</v>
      </c>
      <c r="Q195" t="s">
        <v>637</v>
      </c>
      <c r="R195">
        <f t="shared" si="2"/>
        <v>100016.09999999999</v>
      </c>
    </row>
    <row r="196" spans="2:18" x14ac:dyDescent="0.3">
      <c r="B196">
        <v>140142</v>
      </c>
      <c r="C196" t="s">
        <v>49</v>
      </c>
      <c r="D196" t="s">
        <v>32</v>
      </c>
      <c r="E196" t="s">
        <v>18</v>
      </c>
      <c r="F196" t="s">
        <v>17</v>
      </c>
      <c r="G196">
        <v>606</v>
      </c>
      <c r="H196" t="s">
        <v>19</v>
      </c>
      <c r="I196" t="s">
        <v>762</v>
      </c>
      <c r="J196" t="s">
        <v>763</v>
      </c>
      <c r="K196" t="s">
        <v>764</v>
      </c>
      <c r="L196" t="s">
        <v>765</v>
      </c>
      <c r="M196">
        <v>49.9</v>
      </c>
      <c r="N196" t="s">
        <v>24</v>
      </c>
      <c r="O196">
        <v>45341.382543807871</v>
      </c>
      <c r="P196" t="s">
        <v>636</v>
      </c>
      <c r="Q196" t="s">
        <v>637</v>
      </c>
      <c r="R196">
        <f t="shared" ref="R196:R255" si="3">G196*M196</f>
        <v>30239.399999999998</v>
      </c>
    </row>
    <row r="197" spans="2:18" x14ac:dyDescent="0.3">
      <c r="B197">
        <v>153997</v>
      </c>
      <c r="C197" t="s">
        <v>31</v>
      </c>
      <c r="D197" t="s">
        <v>17</v>
      </c>
      <c r="E197" t="s">
        <v>18</v>
      </c>
      <c r="F197" t="s">
        <v>32</v>
      </c>
      <c r="G197">
        <v>1608</v>
      </c>
      <c r="H197" t="s">
        <v>19</v>
      </c>
      <c r="I197" t="s">
        <v>766</v>
      </c>
      <c r="J197" t="s">
        <v>767</v>
      </c>
      <c r="K197" t="s">
        <v>768</v>
      </c>
      <c r="L197" t="s">
        <v>769</v>
      </c>
      <c r="M197">
        <v>45.9</v>
      </c>
      <c r="N197" t="s">
        <v>24</v>
      </c>
      <c r="O197">
        <v>45341.382551909723</v>
      </c>
      <c r="P197" t="s">
        <v>636</v>
      </c>
      <c r="Q197" t="s">
        <v>637</v>
      </c>
      <c r="R197">
        <f t="shared" si="3"/>
        <v>73807.199999999997</v>
      </c>
    </row>
    <row r="198" spans="2:18" x14ac:dyDescent="0.3">
      <c r="B198">
        <v>123230</v>
      </c>
      <c r="C198" t="s">
        <v>16</v>
      </c>
      <c r="D198" t="s">
        <v>17</v>
      </c>
      <c r="E198" t="s">
        <v>18</v>
      </c>
      <c r="F198" t="s">
        <v>32</v>
      </c>
      <c r="G198">
        <v>880</v>
      </c>
      <c r="H198" t="s">
        <v>19</v>
      </c>
      <c r="I198" t="s">
        <v>770</v>
      </c>
      <c r="J198" t="s">
        <v>771</v>
      </c>
      <c r="K198" t="s">
        <v>772</v>
      </c>
      <c r="L198" t="s">
        <v>773</v>
      </c>
      <c r="M198">
        <v>69.900000000000006</v>
      </c>
      <c r="N198" t="s">
        <v>24</v>
      </c>
      <c r="O198">
        <v>45341.369081793979</v>
      </c>
      <c r="P198" t="s">
        <v>25</v>
      </c>
      <c r="Q198" t="s">
        <v>26</v>
      </c>
      <c r="R198">
        <f t="shared" si="3"/>
        <v>61512.000000000007</v>
      </c>
    </row>
    <row r="199" spans="2:18" x14ac:dyDescent="0.3">
      <c r="B199">
        <v>154676</v>
      </c>
      <c r="C199" t="s">
        <v>16</v>
      </c>
      <c r="D199" t="s">
        <v>17</v>
      </c>
      <c r="E199" t="s">
        <v>18</v>
      </c>
      <c r="F199" t="s">
        <v>17</v>
      </c>
      <c r="G199">
        <v>943</v>
      </c>
      <c r="H199" t="s">
        <v>19</v>
      </c>
      <c r="I199" t="s">
        <v>774</v>
      </c>
      <c r="J199" t="s">
        <v>775</v>
      </c>
      <c r="K199" t="s">
        <v>776</v>
      </c>
      <c r="L199" t="s">
        <v>777</v>
      </c>
      <c r="M199">
        <v>69.900000000000006</v>
      </c>
      <c r="N199" t="s">
        <v>24</v>
      </c>
      <c r="O199">
        <v>45341.369086689818</v>
      </c>
      <c r="P199" t="s">
        <v>25</v>
      </c>
      <c r="Q199" t="s">
        <v>26</v>
      </c>
      <c r="R199">
        <f t="shared" si="3"/>
        <v>65915.700000000012</v>
      </c>
    </row>
    <row r="200" spans="2:18" x14ac:dyDescent="0.3">
      <c r="B200">
        <v>152985</v>
      </c>
      <c r="C200" t="s">
        <v>16</v>
      </c>
      <c r="D200" t="s">
        <v>32</v>
      </c>
      <c r="E200" t="s">
        <v>18</v>
      </c>
      <c r="F200" t="s">
        <v>32</v>
      </c>
      <c r="G200">
        <v>1049</v>
      </c>
      <c r="H200" t="s">
        <v>19</v>
      </c>
      <c r="I200" t="s">
        <v>778</v>
      </c>
      <c r="J200" t="s">
        <v>779</v>
      </c>
      <c r="K200" t="s">
        <v>438</v>
      </c>
      <c r="L200" t="s">
        <v>780</v>
      </c>
      <c r="M200">
        <v>89.9</v>
      </c>
      <c r="N200" t="s">
        <v>24</v>
      </c>
      <c r="O200">
        <v>45341.369092881941</v>
      </c>
      <c r="P200" t="s">
        <v>25</v>
      </c>
      <c r="Q200" t="s">
        <v>26</v>
      </c>
      <c r="R200">
        <f t="shared" si="3"/>
        <v>94305.1</v>
      </c>
    </row>
    <row r="201" spans="2:18" x14ac:dyDescent="0.3">
      <c r="B201">
        <v>175584</v>
      </c>
      <c r="C201" t="s">
        <v>49</v>
      </c>
      <c r="D201" t="s">
        <v>17</v>
      </c>
      <c r="E201" t="s">
        <v>18</v>
      </c>
      <c r="F201" t="s">
        <v>17</v>
      </c>
      <c r="G201">
        <v>2084</v>
      </c>
      <c r="H201" t="s">
        <v>19</v>
      </c>
      <c r="I201" t="s">
        <v>781</v>
      </c>
      <c r="J201" t="s">
        <v>782</v>
      </c>
      <c r="K201" t="s">
        <v>783</v>
      </c>
      <c r="L201" t="s">
        <v>784</v>
      </c>
      <c r="M201">
        <v>69.900000000000006</v>
      </c>
      <c r="N201" t="s">
        <v>24</v>
      </c>
      <c r="O201">
        <v>45341.371269884257</v>
      </c>
      <c r="P201" t="s">
        <v>785</v>
      </c>
      <c r="Q201" t="s">
        <v>26</v>
      </c>
      <c r="R201">
        <f t="shared" si="3"/>
        <v>145671.6</v>
      </c>
    </row>
    <row r="202" spans="2:18" x14ac:dyDescent="0.3">
      <c r="B202">
        <v>147491</v>
      </c>
      <c r="C202" t="s">
        <v>31</v>
      </c>
      <c r="D202" t="s">
        <v>17</v>
      </c>
      <c r="E202" t="s">
        <v>18</v>
      </c>
      <c r="F202" t="s">
        <v>17</v>
      </c>
      <c r="G202">
        <v>1563</v>
      </c>
      <c r="H202" t="s">
        <v>19</v>
      </c>
      <c r="I202" t="s">
        <v>786</v>
      </c>
      <c r="J202" t="s">
        <v>787</v>
      </c>
      <c r="K202" t="s">
        <v>788</v>
      </c>
      <c r="L202" t="s">
        <v>789</v>
      </c>
      <c r="M202">
        <v>59.9</v>
      </c>
      <c r="N202" t="s">
        <v>24</v>
      </c>
      <c r="O202">
        <v>45341.37127635417</v>
      </c>
      <c r="P202" t="s">
        <v>785</v>
      </c>
      <c r="Q202" t="s">
        <v>26</v>
      </c>
      <c r="R202">
        <f t="shared" si="3"/>
        <v>93623.7</v>
      </c>
    </row>
    <row r="203" spans="2:18" x14ac:dyDescent="0.3">
      <c r="B203">
        <v>198283</v>
      </c>
      <c r="C203" t="s">
        <v>31</v>
      </c>
      <c r="D203" t="s">
        <v>32</v>
      </c>
      <c r="E203" t="s">
        <v>18</v>
      </c>
      <c r="F203" t="s">
        <v>32</v>
      </c>
      <c r="G203">
        <v>1558</v>
      </c>
      <c r="H203" t="s">
        <v>19</v>
      </c>
      <c r="I203" t="s">
        <v>790</v>
      </c>
      <c r="J203" t="s">
        <v>791</v>
      </c>
      <c r="K203" t="s">
        <v>792</v>
      </c>
      <c r="L203" t="s">
        <v>793</v>
      </c>
      <c r="M203">
        <v>69.900000000000006</v>
      </c>
      <c r="N203" t="s">
        <v>24</v>
      </c>
      <c r="O203">
        <v>45341.371284918983</v>
      </c>
      <c r="P203" t="s">
        <v>785</v>
      </c>
      <c r="Q203" t="s">
        <v>26</v>
      </c>
      <c r="R203">
        <f t="shared" si="3"/>
        <v>108904.20000000001</v>
      </c>
    </row>
    <row r="204" spans="2:18" x14ac:dyDescent="0.3">
      <c r="B204">
        <v>141547</v>
      </c>
      <c r="C204" t="s">
        <v>31</v>
      </c>
      <c r="D204" t="s">
        <v>17</v>
      </c>
      <c r="E204" t="s">
        <v>18</v>
      </c>
      <c r="F204" t="s">
        <v>17</v>
      </c>
      <c r="G204">
        <v>1426</v>
      </c>
      <c r="H204" t="s">
        <v>19</v>
      </c>
      <c r="I204" t="s">
        <v>794</v>
      </c>
      <c r="J204" t="s">
        <v>795</v>
      </c>
      <c r="K204" t="s">
        <v>792</v>
      </c>
      <c r="L204" t="s">
        <v>793</v>
      </c>
      <c r="M204">
        <v>69.900000000000006</v>
      </c>
      <c r="N204" t="s">
        <v>24</v>
      </c>
      <c r="O204">
        <v>45341.371290462965</v>
      </c>
      <c r="P204" t="s">
        <v>785</v>
      </c>
      <c r="Q204" t="s">
        <v>26</v>
      </c>
      <c r="R204">
        <f t="shared" si="3"/>
        <v>99677.400000000009</v>
      </c>
    </row>
    <row r="205" spans="2:18" x14ac:dyDescent="0.3">
      <c r="B205">
        <v>156342</v>
      </c>
      <c r="C205" t="s">
        <v>49</v>
      </c>
      <c r="D205" t="s">
        <v>32</v>
      </c>
      <c r="E205" t="s">
        <v>18</v>
      </c>
      <c r="F205" t="s">
        <v>32</v>
      </c>
      <c r="G205">
        <v>1466</v>
      </c>
      <c r="H205" t="s">
        <v>19</v>
      </c>
      <c r="I205" t="s">
        <v>796</v>
      </c>
      <c r="J205" t="s">
        <v>797</v>
      </c>
      <c r="K205" t="s">
        <v>798</v>
      </c>
      <c r="L205" t="s">
        <v>799</v>
      </c>
      <c r="M205">
        <v>109</v>
      </c>
      <c r="N205" t="s">
        <v>24</v>
      </c>
      <c r="O205">
        <v>45341.371295717596</v>
      </c>
      <c r="P205" t="s">
        <v>785</v>
      </c>
      <c r="Q205" t="s">
        <v>26</v>
      </c>
      <c r="R205">
        <f t="shared" si="3"/>
        <v>159794</v>
      </c>
    </row>
    <row r="206" spans="2:18" x14ac:dyDescent="0.3">
      <c r="B206">
        <v>186083</v>
      </c>
      <c r="C206" t="s">
        <v>31</v>
      </c>
      <c r="D206" t="s">
        <v>17</v>
      </c>
      <c r="E206" t="s">
        <v>18</v>
      </c>
      <c r="F206" t="s">
        <v>32</v>
      </c>
      <c r="G206">
        <v>624</v>
      </c>
      <c r="H206" t="s">
        <v>19</v>
      </c>
      <c r="I206" t="s">
        <v>800</v>
      </c>
      <c r="J206" t="s">
        <v>801</v>
      </c>
      <c r="K206" t="s">
        <v>802</v>
      </c>
      <c r="L206" t="s">
        <v>803</v>
      </c>
      <c r="M206">
        <v>49.9</v>
      </c>
      <c r="N206" t="s">
        <v>24</v>
      </c>
      <c r="O206">
        <v>45341.371302638887</v>
      </c>
      <c r="P206" t="s">
        <v>785</v>
      </c>
      <c r="Q206" t="s">
        <v>26</v>
      </c>
      <c r="R206">
        <f t="shared" si="3"/>
        <v>31137.599999999999</v>
      </c>
    </row>
    <row r="207" spans="2:18" x14ac:dyDescent="0.3">
      <c r="B207">
        <v>171776</v>
      </c>
      <c r="C207" t="s">
        <v>16</v>
      </c>
      <c r="D207" t="s">
        <v>32</v>
      </c>
      <c r="E207" t="s">
        <v>18</v>
      </c>
      <c r="F207" t="s">
        <v>17</v>
      </c>
      <c r="G207">
        <v>1685</v>
      </c>
      <c r="H207" t="s">
        <v>19</v>
      </c>
      <c r="I207" t="s">
        <v>804</v>
      </c>
      <c r="J207" t="s">
        <v>805</v>
      </c>
      <c r="K207" t="s">
        <v>806</v>
      </c>
      <c r="L207" t="s">
        <v>807</v>
      </c>
      <c r="M207">
        <v>12.99</v>
      </c>
      <c r="N207" t="s">
        <v>24</v>
      </c>
      <c r="O207">
        <v>45341.371309178241</v>
      </c>
      <c r="P207" t="s">
        <v>785</v>
      </c>
      <c r="Q207" t="s">
        <v>26</v>
      </c>
      <c r="R207">
        <f t="shared" si="3"/>
        <v>21888.15</v>
      </c>
    </row>
    <row r="208" spans="2:18" x14ac:dyDescent="0.3">
      <c r="B208">
        <v>134429</v>
      </c>
      <c r="C208" t="s">
        <v>16</v>
      </c>
      <c r="D208" t="s">
        <v>17</v>
      </c>
      <c r="E208" t="s">
        <v>18</v>
      </c>
      <c r="F208" t="s">
        <v>17</v>
      </c>
      <c r="G208">
        <v>2914</v>
      </c>
      <c r="H208" t="s">
        <v>19</v>
      </c>
      <c r="I208" t="s">
        <v>808</v>
      </c>
      <c r="J208" t="s">
        <v>809</v>
      </c>
      <c r="K208" t="s">
        <v>810</v>
      </c>
      <c r="L208" t="s">
        <v>811</v>
      </c>
      <c r="M208">
        <v>69.900000000000006</v>
      </c>
      <c r="N208" t="s">
        <v>24</v>
      </c>
      <c r="O208">
        <v>45341.371315405093</v>
      </c>
      <c r="P208" t="s">
        <v>785</v>
      </c>
      <c r="Q208" t="s">
        <v>26</v>
      </c>
      <c r="R208">
        <f t="shared" si="3"/>
        <v>203688.6</v>
      </c>
    </row>
    <row r="209" spans="2:18" x14ac:dyDescent="0.3">
      <c r="B209">
        <v>172816</v>
      </c>
      <c r="C209" t="s">
        <v>16</v>
      </c>
      <c r="D209" t="s">
        <v>17</v>
      </c>
      <c r="E209" t="s">
        <v>18</v>
      </c>
      <c r="F209" t="s">
        <v>32</v>
      </c>
      <c r="G209">
        <v>1524</v>
      </c>
      <c r="H209" t="s">
        <v>19</v>
      </c>
      <c r="I209" t="s">
        <v>812</v>
      </c>
      <c r="J209" t="s">
        <v>813</v>
      </c>
      <c r="K209" t="s">
        <v>814</v>
      </c>
      <c r="L209" t="s">
        <v>815</v>
      </c>
      <c r="M209">
        <v>69.900000000000006</v>
      </c>
      <c r="N209" t="s">
        <v>24</v>
      </c>
      <c r="O209">
        <v>45341.371345960652</v>
      </c>
      <c r="P209" t="s">
        <v>636</v>
      </c>
      <c r="Q209" t="s">
        <v>26</v>
      </c>
      <c r="R209">
        <f t="shared" si="3"/>
        <v>106527.6</v>
      </c>
    </row>
    <row r="210" spans="2:18" x14ac:dyDescent="0.3">
      <c r="B210">
        <v>136272</v>
      </c>
      <c r="C210" t="s">
        <v>31</v>
      </c>
      <c r="D210" t="s">
        <v>17</v>
      </c>
      <c r="E210" t="s">
        <v>18</v>
      </c>
      <c r="F210" t="s">
        <v>32</v>
      </c>
      <c r="G210">
        <v>2887</v>
      </c>
      <c r="H210" t="s">
        <v>19</v>
      </c>
      <c r="I210" t="s">
        <v>816</v>
      </c>
      <c r="J210" t="s">
        <v>817</v>
      </c>
      <c r="K210" t="s">
        <v>818</v>
      </c>
      <c r="L210" t="s">
        <v>819</v>
      </c>
      <c r="M210">
        <v>12.99</v>
      </c>
      <c r="N210" t="s">
        <v>24</v>
      </c>
      <c r="O210">
        <v>45341.371357870368</v>
      </c>
      <c r="P210" t="s">
        <v>636</v>
      </c>
      <c r="Q210" t="s">
        <v>26</v>
      </c>
      <c r="R210">
        <f t="shared" si="3"/>
        <v>37502.129999999997</v>
      </c>
    </row>
    <row r="211" spans="2:18" x14ac:dyDescent="0.3">
      <c r="B211">
        <v>193227</v>
      </c>
      <c r="C211" t="s">
        <v>31</v>
      </c>
      <c r="D211" t="s">
        <v>32</v>
      </c>
      <c r="E211" t="s">
        <v>18</v>
      </c>
      <c r="F211" t="s">
        <v>32</v>
      </c>
      <c r="G211">
        <v>1778</v>
      </c>
      <c r="H211" t="s">
        <v>19</v>
      </c>
      <c r="I211" t="s">
        <v>820</v>
      </c>
      <c r="J211" t="s">
        <v>821</v>
      </c>
      <c r="K211" t="s">
        <v>822</v>
      </c>
      <c r="L211" t="s">
        <v>823</v>
      </c>
      <c r="M211">
        <v>69.900000000000006</v>
      </c>
      <c r="N211" t="s">
        <v>24</v>
      </c>
      <c r="O211">
        <v>45341.371364895836</v>
      </c>
      <c r="P211" t="s">
        <v>636</v>
      </c>
      <c r="Q211" t="s">
        <v>26</v>
      </c>
      <c r="R211">
        <f t="shared" si="3"/>
        <v>124282.20000000001</v>
      </c>
    </row>
    <row r="212" spans="2:18" x14ac:dyDescent="0.3">
      <c r="B212">
        <v>165786</v>
      </c>
      <c r="C212" t="s">
        <v>31</v>
      </c>
      <c r="D212" t="s">
        <v>17</v>
      </c>
      <c r="E212" t="s">
        <v>18</v>
      </c>
      <c r="F212" t="s">
        <v>32</v>
      </c>
      <c r="G212">
        <v>1278</v>
      </c>
      <c r="H212" t="s">
        <v>19</v>
      </c>
      <c r="I212" t="s">
        <v>824</v>
      </c>
      <c r="J212" t="s">
        <v>825</v>
      </c>
      <c r="K212" t="s">
        <v>826</v>
      </c>
      <c r="L212" t="s">
        <v>827</v>
      </c>
      <c r="M212">
        <v>59.9</v>
      </c>
      <c r="N212" t="s">
        <v>24</v>
      </c>
      <c r="O212">
        <v>45341.371372013891</v>
      </c>
      <c r="P212" t="s">
        <v>636</v>
      </c>
      <c r="Q212" t="s">
        <v>26</v>
      </c>
      <c r="R212">
        <f t="shared" si="3"/>
        <v>76552.2</v>
      </c>
    </row>
    <row r="213" spans="2:18" x14ac:dyDescent="0.3">
      <c r="B213">
        <v>174708</v>
      </c>
      <c r="C213" t="s">
        <v>49</v>
      </c>
      <c r="D213" t="s">
        <v>17</v>
      </c>
      <c r="E213" t="s">
        <v>18</v>
      </c>
      <c r="F213" t="s">
        <v>32</v>
      </c>
      <c r="G213">
        <v>529</v>
      </c>
      <c r="H213" t="s">
        <v>19</v>
      </c>
      <c r="I213" t="s">
        <v>828</v>
      </c>
      <c r="J213" t="s">
        <v>829</v>
      </c>
      <c r="K213" t="s">
        <v>830</v>
      </c>
      <c r="L213" t="s">
        <v>831</v>
      </c>
      <c r="M213">
        <v>59.9</v>
      </c>
      <c r="N213" t="s">
        <v>24</v>
      </c>
      <c r="O213">
        <v>45341.371378067131</v>
      </c>
      <c r="P213" t="s">
        <v>636</v>
      </c>
      <c r="Q213" t="s">
        <v>26</v>
      </c>
      <c r="R213">
        <f t="shared" si="3"/>
        <v>31687.1</v>
      </c>
    </row>
    <row r="214" spans="2:18" x14ac:dyDescent="0.3">
      <c r="B214">
        <v>142257</v>
      </c>
      <c r="C214" t="s">
        <v>16</v>
      </c>
      <c r="D214" t="s">
        <v>32</v>
      </c>
      <c r="E214" t="s">
        <v>18</v>
      </c>
      <c r="F214" t="s">
        <v>32</v>
      </c>
      <c r="G214">
        <v>1180</v>
      </c>
      <c r="H214" t="s">
        <v>19</v>
      </c>
      <c r="I214" t="s">
        <v>832</v>
      </c>
      <c r="J214" t="s">
        <v>833</v>
      </c>
      <c r="K214" t="s">
        <v>834</v>
      </c>
      <c r="L214" t="s">
        <v>835</v>
      </c>
      <c r="M214">
        <v>19.899999999999999</v>
      </c>
      <c r="N214" t="s">
        <v>24</v>
      </c>
      <c r="O214">
        <v>45341.372524618055</v>
      </c>
      <c r="P214" t="s">
        <v>836</v>
      </c>
      <c r="Q214" t="s">
        <v>26</v>
      </c>
      <c r="R214">
        <f t="shared" si="3"/>
        <v>23482</v>
      </c>
    </row>
    <row r="215" spans="2:18" x14ac:dyDescent="0.3">
      <c r="B215">
        <v>126146</v>
      </c>
      <c r="C215" t="s">
        <v>16</v>
      </c>
      <c r="D215" t="s">
        <v>17</v>
      </c>
      <c r="E215" t="s">
        <v>18</v>
      </c>
      <c r="F215" t="s">
        <v>17</v>
      </c>
      <c r="G215">
        <v>2759</v>
      </c>
      <c r="H215" t="s">
        <v>19</v>
      </c>
      <c r="I215" t="s">
        <v>837</v>
      </c>
      <c r="J215" t="s">
        <v>838</v>
      </c>
      <c r="K215" t="s">
        <v>839</v>
      </c>
      <c r="L215" t="s">
        <v>840</v>
      </c>
      <c r="M215">
        <v>39.9</v>
      </c>
      <c r="N215" t="s">
        <v>24</v>
      </c>
      <c r="O215">
        <v>45341.372530706016</v>
      </c>
      <c r="P215" t="s">
        <v>836</v>
      </c>
      <c r="Q215" t="s">
        <v>26</v>
      </c>
      <c r="R215">
        <f t="shared" si="3"/>
        <v>110084.09999999999</v>
      </c>
    </row>
    <row r="216" spans="2:18" x14ac:dyDescent="0.3">
      <c r="B216">
        <v>129134</v>
      </c>
      <c r="C216" t="s">
        <v>16</v>
      </c>
      <c r="D216" t="s">
        <v>17</v>
      </c>
      <c r="E216" t="s">
        <v>18</v>
      </c>
      <c r="F216" t="s">
        <v>32</v>
      </c>
      <c r="G216">
        <v>1831</v>
      </c>
      <c r="H216" t="s">
        <v>19</v>
      </c>
      <c r="I216" t="s">
        <v>841</v>
      </c>
      <c r="J216" t="s">
        <v>842</v>
      </c>
      <c r="K216" t="s">
        <v>843</v>
      </c>
      <c r="L216" t="s">
        <v>844</v>
      </c>
      <c r="M216">
        <v>29.9</v>
      </c>
      <c r="N216" t="s">
        <v>24</v>
      </c>
      <c r="O216">
        <v>45341.372540034725</v>
      </c>
      <c r="P216" t="s">
        <v>836</v>
      </c>
      <c r="Q216" t="s">
        <v>26</v>
      </c>
      <c r="R216">
        <f t="shared" si="3"/>
        <v>54746.899999999994</v>
      </c>
    </row>
    <row r="217" spans="2:18" x14ac:dyDescent="0.3">
      <c r="B217">
        <v>129898</v>
      </c>
      <c r="C217" t="s">
        <v>31</v>
      </c>
      <c r="D217" t="s">
        <v>17</v>
      </c>
      <c r="E217" t="s">
        <v>18</v>
      </c>
      <c r="F217" t="s">
        <v>17</v>
      </c>
      <c r="G217">
        <v>1866</v>
      </c>
      <c r="H217" t="s">
        <v>19</v>
      </c>
      <c r="I217" t="s">
        <v>845</v>
      </c>
      <c r="J217" t="s">
        <v>846</v>
      </c>
      <c r="K217" t="s">
        <v>847</v>
      </c>
      <c r="L217" t="s">
        <v>848</v>
      </c>
      <c r="M217">
        <v>39.9</v>
      </c>
      <c r="N217" t="s">
        <v>24</v>
      </c>
      <c r="O217">
        <v>45341.372545763887</v>
      </c>
      <c r="P217" t="s">
        <v>836</v>
      </c>
      <c r="Q217" t="s">
        <v>26</v>
      </c>
      <c r="R217">
        <f t="shared" si="3"/>
        <v>74453.399999999994</v>
      </c>
    </row>
    <row r="218" spans="2:18" x14ac:dyDescent="0.3">
      <c r="B218">
        <v>189692</v>
      </c>
      <c r="C218" t="s">
        <v>31</v>
      </c>
      <c r="D218" t="s">
        <v>32</v>
      </c>
      <c r="E218" t="s">
        <v>18</v>
      </c>
      <c r="F218" t="s">
        <v>17</v>
      </c>
      <c r="G218">
        <v>1553</v>
      </c>
      <c r="H218" t="s">
        <v>19</v>
      </c>
      <c r="I218" t="s">
        <v>849</v>
      </c>
      <c r="J218" t="s">
        <v>850</v>
      </c>
      <c r="K218" t="s">
        <v>851</v>
      </c>
      <c r="L218" t="s">
        <v>852</v>
      </c>
      <c r="M218">
        <v>39.9</v>
      </c>
      <c r="N218" t="s">
        <v>24</v>
      </c>
      <c r="O218">
        <v>45341.372551469911</v>
      </c>
      <c r="P218" t="s">
        <v>836</v>
      </c>
      <c r="Q218" t="s">
        <v>26</v>
      </c>
      <c r="R218">
        <f t="shared" si="3"/>
        <v>61964.7</v>
      </c>
    </row>
    <row r="219" spans="2:18" x14ac:dyDescent="0.3">
      <c r="B219">
        <v>154846</v>
      </c>
      <c r="C219" t="s">
        <v>31</v>
      </c>
      <c r="D219" t="s">
        <v>32</v>
      </c>
      <c r="E219" t="s">
        <v>18</v>
      </c>
      <c r="F219" t="s">
        <v>17</v>
      </c>
      <c r="G219">
        <v>917</v>
      </c>
      <c r="H219" t="s">
        <v>19</v>
      </c>
      <c r="I219" t="s">
        <v>853</v>
      </c>
      <c r="J219" t="s">
        <v>854</v>
      </c>
      <c r="K219" t="s">
        <v>855</v>
      </c>
      <c r="L219" t="s">
        <v>856</v>
      </c>
      <c r="M219">
        <v>39.9</v>
      </c>
      <c r="N219" t="s">
        <v>24</v>
      </c>
      <c r="O219">
        <v>45341.372557627314</v>
      </c>
      <c r="P219" t="s">
        <v>836</v>
      </c>
      <c r="Q219" t="s">
        <v>26</v>
      </c>
      <c r="R219">
        <f t="shared" si="3"/>
        <v>36588.299999999996</v>
      </c>
    </row>
    <row r="220" spans="2:18" x14ac:dyDescent="0.3">
      <c r="B220">
        <v>122307</v>
      </c>
      <c r="C220" t="s">
        <v>31</v>
      </c>
      <c r="D220" t="s">
        <v>17</v>
      </c>
      <c r="E220" t="s">
        <v>18</v>
      </c>
      <c r="F220" t="s">
        <v>17</v>
      </c>
      <c r="G220">
        <v>702</v>
      </c>
      <c r="H220" t="s">
        <v>19</v>
      </c>
      <c r="I220" t="s">
        <v>857</v>
      </c>
      <c r="J220" t="s">
        <v>858</v>
      </c>
      <c r="K220" t="s">
        <v>859</v>
      </c>
      <c r="L220" t="s">
        <v>860</v>
      </c>
      <c r="M220">
        <v>49.9</v>
      </c>
      <c r="N220" t="s">
        <v>24</v>
      </c>
      <c r="O220">
        <v>45341.37256369213</v>
      </c>
      <c r="P220" t="s">
        <v>836</v>
      </c>
      <c r="Q220" t="s">
        <v>26</v>
      </c>
      <c r="R220">
        <f t="shared" si="3"/>
        <v>35029.799999999996</v>
      </c>
    </row>
    <row r="221" spans="2:18" x14ac:dyDescent="0.3">
      <c r="B221">
        <v>182099</v>
      </c>
      <c r="C221" t="s">
        <v>16</v>
      </c>
      <c r="D221" t="s">
        <v>32</v>
      </c>
      <c r="E221" t="s">
        <v>18</v>
      </c>
      <c r="F221" t="s">
        <v>17</v>
      </c>
      <c r="G221">
        <v>1978</v>
      </c>
      <c r="H221" t="s">
        <v>19</v>
      </c>
      <c r="I221" t="s">
        <v>861</v>
      </c>
      <c r="J221" t="s">
        <v>862</v>
      </c>
      <c r="K221" t="s">
        <v>863</v>
      </c>
      <c r="L221" t="s">
        <v>864</v>
      </c>
      <c r="M221">
        <v>39.9</v>
      </c>
      <c r="N221" t="s">
        <v>24</v>
      </c>
      <c r="O221">
        <v>45341.372570046296</v>
      </c>
      <c r="P221" t="s">
        <v>836</v>
      </c>
      <c r="Q221" t="s">
        <v>26</v>
      </c>
      <c r="R221">
        <f t="shared" si="3"/>
        <v>78922.2</v>
      </c>
    </row>
    <row r="222" spans="2:18" x14ac:dyDescent="0.3">
      <c r="B222">
        <v>159816</v>
      </c>
      <c r="C222" t="s">
        <v>49</v>
      </c>
      <c r="D222" t="s">
        <v>17</v>
      </c>
      <c r="E222" t="s">
        <v>18</v>
      </c>
      <c r="F222" t="s">
        <v>32</v>
      </c>
      <c r="G222">
        <v>1961</v>
      </c>
      <c r="H222" t="s">
        <v>19</v>
      </c>
      <c r="I222" t="s">
        <v>865</v>
      </c>
      <c r="J222" t="s">
        <v>866</v>
      </c>
      <c r="K222" t="s">
        <v>867</v>
      </c>
      <c r="L222" t="s">
        <v>868</v>
      </c>
      <c r="M222">
        <v>27.9</v>
      </c>
      <c r="N222" t="s">
        <v>24</v>
      </c>
      <c r="O222">
        <v>45341.372576319445</v>
      </c>
      <c r="P222" t="s">
        <v>836</v>
      </c>
      <c r="Q222" t="s">
        <v>26</v>
      </c>
      <c r="R222">
        <f t="shared" si="3"/>
        <v>54711.899999999994</v>
      </c>
    </row>
    <row r="223" spans="2:18" x14ac:dyDescent="0.3">
      <c r="B223">
        <v>165326</v>
      </c>
      <c r="C223" t="s">
        <v>16</v>
      </c>
      <c r="D223" t="s">
        <v>17</v>
      </c>
      <c r="E223" t="s">
        <v>18</v>
      </c>
      <c r="F223" t="s">
        <v>17</v>
      </c>
      <c r="G223">
        <v>1188</v>
      </c>
      <c r="H223" t="s">
        <v>19</v>
      </c>
      <c r="I223" t="s">
        <v>869</v>
      </c>
      <c r="J223" t="s">
        <v>870</v>
      </c>
      <c r="K223" t="s">
        <v>871</v>
      </c>
      <c r="L223" t="s">
        <v>872</v>
      </c>
      <c r="M223">
        <v>45.9</v>
      </c>
      <c r="N223" t="s">
        <v>24</v>
      </c>
      <c r="O223">
        <v>45341.3725825</v>
      </c>
      <c r="P223" t="s">
        <v>836</v>
      </c>
      <c r="Q223" t="s">
        <v>26</v>
      </c>
      <c r="R223">
        <f t="shared" si="3"/>
        <v>54529.2</v>
      </c>
    </row>
    <row r="224" spans="2:18" x14ac:dyDescent="0.3">
      <c r="B224">
        <v>185154</v>
      </c>
      <c r="C224" t="s">
        <v>16</v>
      </c>
      <c r="D224" t="s">
        <v>32</v>
      </c>
      <c r="E224" t="s">
        <v>18</v>
      </c>
      <c r="F224" t="s">
        <v>17</v>
      </c>
      <c r="G224">
        <v>996</v>
      </c>
      <c r="H224" t="s">
        <v>19</v>
      </c>
      <c r="I224" t="s">
        <v>873</v>
      </c>
      <c r="J224" t="s">
        <v>874</v>
      </c>
      <c r="K224" t="s">
        <v>875</v>
      </c>
      <c r="L224" t="s">
        <v>876</v>
      </c>
      <c r="M224">
        <v>39.9</v>
      </c>
      <c r="N224" t="s">
        <v>24</v>
      </c>
      <c r="O224">
        <v>45341.372589386578</v>
      </c>
      <c r="P224" t="s">
        <v>836</v>
      </c>
      <c r="Q224" t="s">
        <v>26</v>
      </c>
      <c r="R224">
        <f t="shared" si="3"/>
        <v>39740.400000000001</v>
      </c>
    </row>
    <row r="225" spans="2:18" x14ac:dyDescent="0.3">
      <c r="B225">
        <v>141330</v>
      </c>
      <c r="C225" t="s">
        <v>16</v>
      </c>
      <c r="D225" t="s">
        <v>17</v>
      </c>
      <c r="E225" t="s">
        <v>18</v>
      </c>
      <c r="F225" t="s">
        <v>32</v>
      </c>
      <c r="G225">
        <v>1915</v>
      </c>
      <c r="H225" t="s">
        <v>19</v>
      </c>
      <c r="I225" t="s">
        <v>877</v>
      </c>
      <c r="J225" t="s">
        <v>878</v>
      </c>
      <c r="K225" t="s">
        <v>879</v>
      </c>
      <c r="L225" t="s">
        <v>880</v>
      </c>
      <c r="M225">
        <v>39.9</v>
      </c>
      <c r="N225" t="s">
        <v>24</v>
      </c>
      <c r="O225">
        <v>45341.372599189817</v>
      </c>
      <c r="P225" t="s">
        <v>836</v>
      </c>
      <c r="Q225" t="s">
        <v>26</v>
      </c>
      <c r="R225">
        <f t="shared" si="3"/>
        <v>76408.5</v>
      </c>
    </row>
    <row r="226" spans="2:18" x14ac:dyDescent="0.3">
      <c r="B226">
        <v>158958</v>
      </c>
      <c r="C226" t="s">
        <v>31</v>
      </c>
      <c r="D226" t="s">
        <v>17</v>
      </c>
      <c r="E226" t="s">
        <v>18</v>
      </c>
      <c r="F226" t="s">
        <v>17</v>
      </c>
      <c r="G226">
        <v>903</v>
      </c>
      <c r="H226" t="s">
        <v>19</v>
      </c>
      <c r="I226" t="s">
        <v>881</v>
      </c>
      <c r="J226" t="s">
        <v>882</v>
      </c>
      <c r="K226" t="s">
        <v>859</v>
      </c>
      <c r="L226" t="s">
        <v>883</v>
      </c>
      <c r="M226">
        <v>45.9</v>
      </c>
      <c r="N226" t="s">
        <v>24</v>
      </c>
      <c r="O226">
        <v>45341.37260609954</v>
      </c>
      <c r="P226" t="s">
        <v>836</v>
      </c>
      <c r="Q226" t="s">
        <v>26</v>
      </c>
      <c r="R226">
        <f t="shared" si="3"/>
        <v>41447.699999999997</v>
      </c>
    </row>
    <row r="227" spans="2:18" x14ac:dyDescent="0.3">
      <c r="B227">
        <v>155010</v>
      </c>
      <c r="C227" t="s">
        <v>16</v>
      </c>
      <c r="D227" t="s">
        <v>32</v>
      </c>
      <c r="E227" t="s">
        <v>18</v>
      </c>
      <c r="F227" t="s">
        <v>32</v>
      </c>
      <c r="G227">
        <v>729</v>
      </c>
      <c r="H227" t="s">
        <v>19</v>
      </c>
      <c r="I227" t="s">
        <v>884</v>
      </c>
      <c r="J227" t="s">
        <v>885</v>
      </c>
      <c r="K227" t="s">
        <v>886</v>
      </c>
      <c r="L227" t="s">
        <v>887</v>
      </c>
      <c r="M227">
        <v>45.9</v>
      </c>
      <c r="N227" t="s">
        <v>24</v>
      </c>
      <c r="O227">
        <v>45341.37261244213</v>
      </c>
      <c r="P227" t="s">
        <v>836</v>
      </c>
      <c r="Q227" t="s">
        <v>26</v>
      </c>
      <c r="R227">
        <f t="shared" si="3"/>
        <v>33461.1</v>
      </c>
    </row>
    <row r="228" spans="2:18" x14ac:dyDescent="0.3">
      <c r="B228">
        <v>135857</v>
      </c>
      <c r="C228" t="s">
        <v>16</v>
      </c>
      <c r="D228" t="s">
        <v>17</v>
      </c>
      <c r="E228" t="s">
        <v>18</v>
      </c>
      <c r="F228" t="s">
        <v>32</v>
      </c>
      <c r="G228">
        <v>2045</v>
      </c>
      <c r="H228" t="s">
        <v>19</v>
      </c>
      <c r="I228" t="s">
        <v>888</v>
      </c>
      <c r="J228" t="s">
        <v>889</v>
      </c>
      <c r="K228" t="s">
        <v>890</v>
      </c>
      <c r="L228" t="s">
        <v>891</v>
      </c>
      <c r="M228">
        <v>45.9</v>
      </c>
      <c r="N228" t="s">
        <v>24</v>
      </c>
      <c r="O228">
        <v>45341.37261885417</v>
      </c>
      <c r="P228" t="s">
        <v>836</v>
      </c>
      <c r="Q228" t="s">
        <v>26</v>
      </c>
      <c r="R228">
        <f t="shared" si="3"/>
        <v>93865.5</v>
      </c>
    </row>
    <row r="229" spans="2:18" x14ac:dyDescent="0.3">
      <c r="B229">
        <v>147690</v>
      </c>
      <c r="C229" t="s">
        <v>16</v>
      </c>
      <c r="D229" t="s">
        <v>32</v>
      </c>
      <c r="E229" t="s">
        <v>18</v>
      </c>
      <c r="F229" t="s">
        <v>17</v>
      </c>
      <c r="G229">
        <v>881</v>
      </c>
      <c r="H229" t="s">
        <v>19</v>
      </c>
      <c r="I229" t="s">
        <v>892</v>
      </c>
      <c r="J229" t="s">
        <v>893</v>
      </c>
      <c r="K229" t="s">
        <v>894</v>
      </c>
      <c r="L229" t="s">
        <v>895</v>
      </c>
      <c r="M229">
        <v>39.9</v>
      </c>
      <c r="N229" t="s">
        <v>24</v>
      </c>
      <c r="O229">
        <v>45341.372624606483</v>
      </c>
      <c r="P229" t="s">
        <v>836</v>
      </c>
      <c r="Q229" t="s">
        <v>26</v>
      </c>
      <c r="R229">
        <f t="shared" si="3"/>
        <v>35151.9</v>
      </c>
    </row>
    <row r="230" spans="2:18" x14ac:dyDescent="0.3">
      <c r="B230">
        <v>130321</v>
      </c>
      <c r="C230" t="s">
        <v>31</v>
      </c>
      <c r="D230" t="s">
        <v>32</v>
      </c>
      <c r="E230" t="s">
        <v>18</v>
      </c>
      <c r="F230" t="s">
        <v>17</v>
      </c>
      <c r="G230">
        <v>2093</v>
      </c>
      <c r="H230" t="s">
        <v>19</v>
      </c>
      <c r="I230" t="s">
        <v>896</v>
      </c>
      <c r="J230" t="s">
        <v>897</v>
      </c>
      <c r="K230" t="s">
        <v>898</v>
      </c>
      <c r="L230" t="s">
        <v>899</v>
      </c>
      <c r="M230">
        <v>39.9</v>
      </c>
      <c r="N230" t="s">
        <v>24</v>
      </c>
      <c r="O230">
        <v>45341.372630266203</v>
      </c>
      <c r="P230" t="s">
        <v>836</v>
      </c>
      <c r="Q230" t="s">
        <v>26</v>
      </c>
      <c r="R230">
        <f t="shared" si="3"/>
        <v>83510.7</v>
      </c>
    </row>
    <row r="231" spans="2:18" x14ac:dyDescent="0.3">
      <c r="B231">
        <v>196752</v>
      </c>
      <c r="C231" t="s">
        <v>31</v>
      </c>
      <c r="D231" t="s">
        <v>17</v>
      </c>
      <c r="E231" t="s">
        <v>18</v>
      </c>
      <c r="F231" t="s">
        <v>17</v>
      </c>
      <c r="G231">
        <v>2227</v>
      </c>
      <c r="H231" t="s">
        <v>19</v>
      </c>
      <c r="I231" t="s">
        <v>900</v>
      </c>
      <c r="J231" t="s">
        <v>901</v>
      </c>
      <c r="K231" t="s">
        <v>871</v>
      </c>
      <c r="L231" t="s">
        <v>872</v>
      </c>
      <c r="M231">
        <v>45.9</v>
      </c>
      <c r="N231" t="s">
        <v>24</v>
      </c>
      <c r="O231">
        <v>45341.372638715278</v>
      </c>
      <c r="P231" t="s">
        <v>836</v>
      </c>
      <c r="Q231" t="s">
        <v>26</v>
      </c>
      <c r="R231">
        <f t="shared" si="3"/>
        <v>102219.3</v>
      </c>
    </row>
    <row r="232" spans="2:18" x14ac:dyDescent="0.3">
      <c r="B232">
        <v>181011</v>
      </c>
      <c r="C232" t="s">
        <v>16</v>
      </c>
      <c r="D232" t="s">
        <v>32</v>
      </c>
      <c r="E232" t="s">
        <v>18</v>
      </c>
      <c r="F232" t="s">
        <v>32</v>
      </c>
      <c r="G232">
        <v>994</v>
      </c>
      <c r="H232" t="s">
        <v>19</v>
      </c>
      <c r="I232" t="s">
        <v>674</v>
      </c>
      <c r="J232" t="s">
        <v>437</v>
      </c>
      <c r="K232" t="s">
        <v>68</v>
      </c>
      <c r="L232" t="s">
        <v>552</v>
      </c>
      <c r="M232">
        <v>89.9</v>
      </c>
      <c r="N232" t="s">
        <v>24</v>
      </c>
      <c r="O232">
        <v>45341.382313391201</v>
      </c>
      <c r="P232" t="s">
        <v>517</v>
      </c>
      <c r="Q232" t="s">
        <v>26</v>
      </c>
      <c r="R232">
        <f t="shared" si="3"/>
        <v>89360.6</v>
      </c>
    </row>
    <row r="233" spans="2:18" x14ac:dyDescent="0.3">
      <c r="B233">
        <v>139967</v>
      </c>
      <c r="C233" t="s">
        <v>31</v>
      </c>
      <c r="D233" t="s">
        <v>17</v>
      </c>
      <c r="E233" t="s">
        <v>18</v>
      </c>
      <c r="F233" t="s">
        <v>17</v>
      </c>
      <c r="G233">
        <v>2634</v>
      </c>
      <c r="H233" t="s">
        <v>19</v>
      </c>
      <c r="I233" t="s">
        <v>678</v>
      </c>
      <c r="J233" t="s">
        <v>441</v>
      </c>
      <c r="K233" t="s">
        <v>72</v>
      </c>
      <c r="L233" t="s">
        <v>725</v>
      </c>
      <c r="M233">
        <v>69.900000000000006</v>
      </c>
      <c r="N233" t="s">
        <v>24</v>
      </c>
      <c r="O233">
        <v>45341.38232099537</v>
      </c>
      <c r="P233" t="s">
        <v>836</v>
      </c>
      <c r="Q233" t="s">
        <v>26</v>
      </c>
      <c r="R233">
        <f t="shared" si="3"/>
        <v>184116.6</v>
      </c>
    </row>
    <row r="234" spans="2:18" x14ac:dyDescent="0.3">
      <c r="B234">
        <v>162699</v>
      </c>
      <c r="C234" t="s">
        <v>31</v>
      </c>
      <c r="D234" t="s">
        <v>17</v>
      </c>
      <c r="E234" t="s">
        <v>18</v>
      </c>
      <c r="F234" t="s">
        <v>32</v>
      </c>
      <c r="G234">
        <v>2732</v>
      </c>
      <c r="H234" t="s">
        <v>19</v>
      </c>
      <c r="I234" t="s">
        <v>682</v>
      </c>
      <c r="J234" t="s">
        <v>444</v>
      </c>
      <c r="K234" t="s">
        <v>76</v>
      </c>
      <c r="L234" t="s">
        <v>653</v>
      </c>
      <c r="M234">
        <v>89.9</v>
      </c>
      <c r="N234" t="s">
        <v>24</v>
      </c>
      <c r="O234">
        <v>45341.382327870371</v>
      </c>
      <c r="P234" t="s">
        <v>636</v>
      </c>
      <c r="Q234" t="s">
        <v>26</v>
      </c>
      <c r="R234">
        <f t="shared" si="3"/>
        <v>245606.80000000002</v>
      </c>
    </row>
    <row r="235" spans="2:18" x14ac:dyDescent="0.3">
      <c r="B235">
        <v>119044</v>
      </c>
      <c r="C235" t="s">
        <v>16</v>
      </c>
      <c r="D235" t="s">
        <v>17</v>
      </c>
      <c r="E235" t="s">
        <v>18</v>
      </c>
      <c r="F235" t="s">
        <v>32</v>
      </c>
      <c r="G235">
        <v>1140</v>
      </c>
      <c r="H235" t="s">
        <v>19</v>
      </c>
      <c r="I235" t="s">
        <v>686</v>
      </c>
      <c r="J235" t="s">
        <v>448</v>
      </c>
      <c r="K235" t="s">
        <v>80</v>
      </c>
      <c r="L235" t="s">
        <v>467</v>
      </c>
      <c r="M235">
        <v>169</v>
      </c>
      <c r="N235" t="s">
        <v>24</v>
      </c>
      <c r="O235">
        <v>45341.382336689814</v>
      </c>
      <c r="P235" t="s">
        <v>636</v>
      </c>
      <c r="Q235" t="s">
        <v>26</v>
      </c>
      <c r="R235">
        <f t="shared" si="3"/>
        <v>192660</v>
      </c>
    </row>
    <row r="236" spans="2:18" x14ac:dyDescent="0.3">
      <c r="B236">
        <v>121348</v>
      </c>
      <c r="C236" t="s">
        <v>31</v>
      </c>
      <c r="D236" t="s">
        <v>17</v>
      </c>
      <c r="E236" t="s">
        <v>18</v>
      </c>
      <c r="F236" t="s">
        <v>32</v>
      </c>
      <c r="G236">
        <v>1008</v>
      </c>
      <c r="H236" t="s">
        <v>19</v>
      </c>
      <c r="I236" t="s">
        <v>690</v>
      </c>
      <c r="J236" t="s">
        <v>451</v>
      </c>
      <c r="K236" t="s">
        <v>84</v>
      </c>
      <c r="L236" t="s">
        <v>471</v>
      </c>
      <c r="M236">
        <v>169</v>
      </c>
      <c r="N236" t="s">
        <v>24</v>
      </c>
      <c r="O236">
        <v>45341.382343993057</v>
      </c>
      <c r="P236" t="s">
        <v>836</v>
      </c>
      <c r="Q236" t="s">
        <v>26</v>
      </c>
      <c r="R236">
        <f t="shared" si="3"/>
        <v>170352</v>
      </c>
    </row>
    <row r="237" spans="2:18" x14ac:dyDescent="0.3">
      <c r="B237">
        <v>163982</v>
      </c>
      <c r="C237" t="s">
        <v>49</v>
      </c>
      <c r="D237" t="s">
        <v>17</v>
      </c>
      <c r="E237" t="s">
        <v>18</v>
      </c>
      <c r="F237" t="s">
        <v>17</v>
      </c>
      <c r="G237">
        <v>2685</v>
      </c>
      <c r="H237" t="s">
        <v>19</v>
      </c>
      <c r="I237" t="s">
        <v>694</v>
      </c>
      <c r="J237" t="s">
        <v>455</v>
      </c>
      <c r="K237" t="s">
        <v>88</v>
      </c>
      <c r="L237" t="s">
        <v>474</v>
      </c>
      <c r="M237">
        <v>69.900000000000006</v>
      </c>
      <c r="N237" t="s">
        <v>24</v>
      </c>
      <c r="O237">
        <v>45341.382350324071</v>
      </c>
      <c r="P237" t="s">
        <v>836</v>
      </c>
      <c r="Q237" t="s">
        <v>26</v>
      </c>
      <c r="R237">
        <f t="shared" si="3"/>
        <v>187681.50000000003</v>
      </c>
    </row>
    <row r="238" spans="2:18" x14ac:dyDescent="0.3">
      <c r="B238">
        <v>185774</v>
      </c>
      <c r="C238" t="s">
        <v>31</v>
      </c>
      <c r="D238" t="s">
        <v>32</v>
      </c>
      <c r="E238" t="s">
        <v>18</v>
      </c>
      <c r="F238" t="s">
        <v>32</v>
      </c>
      <c r="G238">
        <v>1145</v>
      </c>
      <c r="H238" t="s">
        <v>19</v>
      </c>
      <c r="I238" t="s">
        <v>698</v>
      </c>
      <c r="J238" t="s">
        <v>459</v>
      </c>
      <c r="K238" t="s">
        <v>92</v>
      </c>
      <c r="L238" t="s">
        <v>477</v>
      </c>
      <c r="M238">
        <v>19.989999999999998</v>
      </c>
      <c r="N238" t="s">
        <v>24</v>
      </c>
      <c r="O238">
        <v>45341.382356956019</v>
      </c>
      <c r="P238" t="s">
        <v>836</v>
      </c>
      <c r="Q238" t="s">
        <v>26</v>
      </c>
      <c r="R238">
        <f t="shared" si="3"/>
        <v>22888.55</v>
      </c>
    </row>
    <row r="239" spans="2:18" x14ac:dyDescent="0.3">
      <c r="B239">
        <v>144651</v>
      </c>
      <c r="C239" t="s">
        <v>16</v>
      </c>
      <c r="D239" t="s">
        <v>32</v>
      </c>
      <c r="E239" t="s">
        <v>18</v>
      </c>
      <c r="F239" t="s">
        <v>17</v>
      </c>
      <c r="G239">
        <v>1791</v>
      </c>
      <c r="H239" t="s">
        <v>19</v>
      </c>
      <c r="I239" t="s">
        <v>702</v>
      </c>
      <c r="J239" t="s">
        <v>462</v>
      </c>
      <c r="K239" t="s">
        <v>96</v>
      </c>
      <c r="L239" t="s">
        <v>481</v>
      </c>
      <c r="M239">
        <v>139</v>
      </c>
      <c r="N239" t="s">
        <v>24</v>
      </c>
      <c r="O239">
        <v>45341.382362870369</v>
      </c>
      <c r="P239" t="s">
        <v>836</v>
      </c>
      <c r="Q239" t="s">
        <v>26</v>
      </c>
      <c r="R239">
        <f t="shared" si="3"/>
        <v>248949</v>
      </c>
    </row>
    <row r="240" spans="2:18" x14ac:dyDescent="0.3">
      <c r="B240">
        <v>195103</v>
      </c>
      <c r="C240" t="s">
        <v>16</v>
      </c>
      <c r="D240" t="s">
        <v>32</v>
      </c>
      <c r="E240" t="s">
        <v>18</v>
      </c>
      <c r="F240" t="s">
        <v>17</v>
      </c>
      <c r="G240">
        <v>2849</v>
      </c>
      <c r="H240" t="s">
        <v>19</v>
      </c>
      <c r="I240" t="s">
        <v>706</v>
      </c>
      <c r="J240" t="s">
        <v>466</v>
      </c>
      <c r="K240" t="s">
        <v>100</v>
      </c>
      <c r="L240" t="s">
        <v>148</v>
      </c>
      <c r="M240">
        <v>109</v>
      </c>
      <c r="N240" t="s">
        <v>24</v>
      </c>
      <c r="O240">
        <v>45341.382370821761</v>
      </c>
      <c r="P240" t="s">
        <v>836</v>
      </c>
      <c r="Q240" t="s">
        <v>26</v>
      </c>
      <c r="R240">
        <f t="shared" si="3"/>
        <v>310541</v>
      </c>
    </row>
    <row r="241" spans="2:18" x14ac:dyDescent="0.3">
      <c r="B241">
        <v>123047</v>
      </c>
      <c r="C241" t="s">
        <v>16</v>
      </c>
      <c r="D241" t="s">
        <v>17</v>
      </c>
      <c r="E241" t="s">
        <v>18</v>
      </c>
      <c r="F241" t="s">
        <v>32</v>
      </c>
      <c r="G241">
        <v>2985</v>
      </c>
      <c r="H241" t="s">
        <v>19</v>
      </c>
      <c r="I241" t="s">
        <v>710</v>
      </c>
      <c r="J241" t="s">
        <v>469</v>
      </c>
      <c r="K241" t="s">
        <v>56</v>
      </c>
      <c r="L241" t="s">
        <v>324</v>
      </c>
      <c r="M241">
        <v>109</v>
      </c>
      <c r="N241" t="s">
        <v>24</v>
      </c>
      <c r="O241">
        <v>45341.382378287039</v>
      </c>
      <c r="P241" t="s">
        <v>836</v>
      </c>
      <c r="Q241" t="s">
        <v>26</v>
      </c>
      <c r="R241">
        <f t="shared" si="3"/>
        <v>325365</v>
      </c>
    </row>
    <row r="242" spans="2:18" x14ac:dyDescent="0.3">
      <c r="B242">
        <v>123077</v>
      </c>
      <c r="C242" t="s">
        <v>49</v>
      </c>
      <c r="D242" t="s">
        <v>17</v>
      </c>
      <c r="E242" t="s">
        <v>18</v>
      </c>
      <c r="F242" t="s">
        <v>17</v>
      </c>
      <c r="G242">
        <v>1603</v>
      </c>
      <c r="H242" t="s">
        <v>19</v>
      </c>
      <c r="I242" t="s">
        <v>714</v>
      </c>
      <c r="J242" t="s">
        <v>473</v>
      </c>
      <c r="K242" t="s">
        <v>107</v>
      </c>
      <c r="L242" t="s">
        <v>327</v>
      </c>
      <c r="M242">
        <v>109</v>
      </c>
      <c r="N242" t="s">
        <v>24</v>
      </c>
      <c r="O242">
        <v>45341.382388449078</v>
      </c>
      <c r="P242" t="s">
        <v>836</v>
      </c>
      <c r="Q242" t="s">
        <v>26</v>
      </c>
      <c r="R242">
        <f t="shared" si="3"/>
        <v>174727</v>
      </c>
    </row>
    <row r="243" spans="2:18" x14ac:dyDescent="0.3">
      <c r="B243">
        <v>171860</v>
      </c>
      <c r="C243" t="s">
        <v>16</v>
      </c>
      <c r="D243" t="s">
        <v>32</v>
      </c>
      <c r="E243" t="s">
        <v>18</v>
      </c>
      <c r="F243" t="s">
        <v>17</v>
      </c>
      <c r="G243">
        <v>707</v>
      </c>
      <c r="H243" t="s">
        <v>19</v>
      </c>
      <c r="I243" t="s">
        <v>718</v>
      </c>
      <c r="J243" t="s">
        <v>476</v>
      </c>
      <c r="K243" t="s">
        <v>111</v>
      </c>
      <c r="L243" t="s">
        <v>331</v>
      </c>
      <c r="M243">
        <v>109</v>
      </c>
      <c r="N243" t="s">
        <v>24</v>
      </c>
      <c r="O243">
        <v>45341.382394490742</v>
      </c>
      <c r="P243" t="s">
        <v>836</v>
      </c>
      <c r="Q243" t="s">
        <v>26</v>
      </c>
      <c r="R243">
        <f t="shared" si="3"/>
        <v>77063</v>
      </c>
    </row>
    <row r="244" spans="2:18" x14ac:dyDescent="0.3">
      <c r="B244">
        <v>149487</v>
      </c>
      <c r="C244" t="s">
        <v>16</v>
      </c>
      <c r="D244" t="s">
        <v>17</v>
      </c>
      <c r="E244" t="s">
        <v>18</v>
      </c>
      <c r="F244" t="s">
        <v>32</v>
      </c>
      <c r="G244">
        <v>1258</v>
      </c>
      <c r="H244" t="s">
        <v>19</v>
      </c>
      <c r="I244" t="s">
        <v>722</v>
      </c>
      <c r="J244" t="s">
        <v>479</v>
      </c>
      <c r="K244" t="s">
        <v>115</v>
      </c>
      <c r="L244" t="s">
        <v>335</v>
      </c>
      <c r="M244">
        <v>99.9</v>
      </c>
      <c r="N244" t="s">
        <v>24</v>
      </c>
      <c r="O244">
        <v>45341.382400636576</v>
      </c>
      <c r="P244" t="s">
        <v>836</v>
      </c>
      <c r="Q244" t="s">
        <v>26</v>
      </c>
      <c r="R244">
        <f t="shared" si="3"/>
        <v>125674.20000000001</v>
      </c>
    </row>
    <row r="245" spans="2:18" x14ac:dyDescent="0.3">
      <c r="B245">
        <v>168516</v>
      </c>
      <c r="C245" t="s">
        <v>49</v>
      </c>
      <c r="D245" t="s">
        <v>32</v>
      </c>
      <c r="E245" t="s">
        <v>18</v>
      </c>
      <c r="F245" t="s">
        <v>17</v>
      </c>
      <c r="G245">
        <v>2168</v>
      </c>
      <c r="H245" t="s">
        <v>19</v>
      </c>
      <c r="I245" t="s">
        <v>726</v>
      </c>
      <c r="J245" t="s">
        <v>483</v>
      </c>
      <c r="K245" t="s">
        <v>119</v>
      </c>
      <c r="L245" t="s">
        <v>339</v>
      </c>
      <c r="M245">
        <v>89.9</v>
      </c>
      <c r="N245" t="s">
        <v>24</v>
      </c>
      <c r="O245">
        <v>45341.382406377314</v>
      </c>
      <c r="P245" t="s">
        <v>836</v>
      </c>
      <c r="Q245" t="s">
        <v>26</v>
      </c>
      <c r="R245">
        <f t="shared" si="3"/>
        <v>194903.2</v>
      </c>
    </row>
    <row r="246" spans="2:18" x14ac:dyDescent="0.3">
      <c r="B246">
        <v>177771</v>
      </c>
      <c r="C246" t="s">
        <v>31</v>
      </c>
      <c r="D246" t="s">
        <v>32</v>
      </c>
      <c r="E246" t="s">
        <v>18</v>
      </c>
      <c r="F246" t="s">
        <v>32</v>
      </c>
      <c r="G246">
        <v>1764</v>
      </c>
      <c r="H246" t="s">
        <v>19</v>
      </c>
      <c r="I246" t="s">
        <v>730</v>
      </c>
      <c r="J246" t="s">
        <v>487</v>
      </c>
      <c r="K246" t="s">
        <v>123</v>
      </c>
      <c r="L246" t="s">
        <v>343</v>
      </c>
      <c r="M246">
        <v>69.900000000000006</v>
      </c>
      <c r="N246" t="s">
        <v>24</v>
      </c>
      <c r="O246">
        <v>45341.38241528935</v>
      </c>
      <c r="P246" t="s">
        <v>836</v>
      </c>
      <c r="Q246" t="s">
        <v>26</v>
      </c>
      <c r="R246">
        <f t="shared" si="3"/>
        <v>123303.6</v>
      </c>
    </row>
    <row r="247" spans="2:18" x14ac:dyDescent="0.3">
      <c r="B247">
        <v>172015</v>
      </c>
      <c r="C247" t="s">
        <v>31</v>
      </c>
      <c r="D247" t="s">
        <v>32</v>
      </c>
      <c r="E247" t="s">
        <v>18</v>
      </c>
      <c r="F247" t="s">
        <v>32</v>
      </c>
      <c r="G247">
        <v>2622</v>
      </c>
      <c r="H247" t="s">
        <v>19</v>
      </c>
      <c r="I247" t="s">
        <v>734</v>
      </c>
      <c r="J247" t="s">
        <v>491</v>
      </c>
      <c r="K247" t="s">
        <v>127</v>
      </c>
      <c r="L247" t="s">
        <v>347</v>
      </c>
      <c r="M247">
        <v>139</v>
      </c>
      <c r="N247" t="s">
        <v>24</v>
      </c>
      <c r="O247">
        <v>45341.382424988427</v>
      </c>
      <c r="P247" t="s">
        <v>836</v>
      </c>
      <c r="Q247" t="s">
        <v>26</v>
      </c>
      <c r="R247">
        <f t="shared" si="3"/>
        <v>364458</v>
      </c>
    </row>
    <row r="248" spans="2:18" x14ac:dyDescent="0.3">
      <c r="B248">
        <v>118985</v>
      </c>
      <c r="C248" t="s">
        <v>16</v>
      </c>
      <c r="D248" t="s">
        <v>17</v>
      </c>
      <c r="E248" t="s">
        <v>18</v>
      </c>
      <c r="F248" t="s">
        <v>32</v>
      </c>
      <c r="G248">
        <v>694</v>
      </c>
      <c r="H248" t="s">
        <v>19</v>
      </c>
      <c r="I248" t="s">
        <v>738</v>
      </c>
      <c r="J248" t="s">
        <v>495</v>
      </c>
      <c r="K248" t="s">
        <v>131</v>
      </c>
      <c r="L248" t="s">
        <v>351</v>
      </c>
      <c r="M248">
        <v>139</v>
      </c>
      <c r="N248" t="s">
        <v>24</v>
      </c>
      <c r="O248">
        <v>45341.382430740741</v>
      </c>
      <c r="P248" t="s">
        <v>836</v>
      </c>
      <c r="Q248" t="s">
        <v>26</v>
      </c>
      <c r="R248">
        <f t="shared" si="3"/>
        <v>96466</v>
      </c>
    </row>
    <row r="249" spans="2:18" x14ac:dyDescent="0.3">
      <c r="B249">
        <v>112194</v>
      </c>
      <c r="C249" t="s">
        <v>16</v>
      </c>
      <c r="D249" t="s">
        <v>32</v>
      </c>
      <c r="E249" t="s">
        <v>18</v>
      </c>
      <c r="F249" t="s">
        <v>32</v>
      </c>
      <c r="G249">
        <v>2187</v>
      </c>
      <c r="H249" t="s">
        <v>19</v>
      </c>
      <c r="I249" t="s">
        <v>742</v>
      </c>
      <c r="J249" t="s">
        <v>499</v>
      </c>
      <c r="K249" t="s">
        <v>135</v>
      </c>
      <c r="L249" t="s">
        <v>132</v>
      </c>
      <c r="M249">
        <v>109</v>
      </c>
      <c r="N249" t="s">
        <v>24</v>
      </c>
      <c r="O249">
        <v>45341.382437418979</v>
      </c>
      <c r="P249" t="s">
        <v>25</v>
      </c>
      <c r="Q249" t="s">
        <v>26</v>
      </c>
      <c r="R249">
        <f t="shared" si="3"/>
        <v>238383</v>
      </c>
    </row>
    <row r="250" spans="2:18" x14ac:dyDescent="0.3">
      <c r="B250">
        <v>113435</v>
      </c>
      <c r="C250" t="s">
        <v>16</v>
      </c>
      <c r="D250" t="s">
        <v>17</v>
      </c>
      <c r="E250" t="s">
        <v>18</v>
      </c>
      <c r="F250" t="s">
        <v>32</v>
      </c>
      <c r="G250">
        <v>2973</v>
      </c>
      <c r="H250" t="s">
        <v>19</v>
      </c>
      <c r="I250" t="s">
        <v>746</v>
      </c>
      <c r="J250" t="s">
        <v>503</v>
      </c>
      <c r="K250" t="s">
        <v>139</v>
      </c>
      <c r="L250" t="s">
        <v>136</v>
      </c>
      <c r="M250">
        <v>129</v>
      </c>
      <c r="N250" t="s">
        <v>24</v>
      </c>
      <c r="O250">
        <v>45341.382446516203</v>
      </c>
      <c r="P250" t="s">
        <v>25</v>
      </c>
      <c r="Q250" t="s">
        <v>26</v>
      </c>
      <c r="R250">
        <f t="shared" si="3"/>
        <v>383517</v>
      </c>
    </row>
    <row r="251" spans="2:18" x14ac:dyDescent="0.3">
      <c r="B251">
        <v>159182</v>
      </c>
      <c r="C251" t="s">
        <v>49</v>
      </c>
      <c r="D251" t="s">
        <v>32</v>
      </c>
      <c r="E251" t="s">
        <v>18</v>
      </c>
      <c r="F251" t="s">
        <v>17</v>
      </c>
      <c r="G251">
        <v>1014</v>
      </c>
      <c r="H251" t="s">
        <v>19</v>
      </c>
      <c r="I251" t="s">
        <v>750</v>
      </c>
      <c r="J251" t="s">
        <v>507</v>
      </c>
      <c r="K251" t="s">
        <v>143</v>
      </c>
      <c r="L251" t="s">
        <v>140</v>
      </c>
      <c r="M251">
        <v>169</v>
      </c>
      <c r="N251" t="s">
        <v>24</v>
      </c>
      <c r="O251">
        <v>45341.382452349535</v>
      </c>
      <c r="P251" t="s">
        <v>25</v>
      </c>
      <c r="Q251" t="s">
        <v>26</v>
      </c>
      <c r="R251">
        <f t="shared" si="3"/>
        <v>171366</v>
      </c>
    </row>
    <row r="252" spans="2:18" x14ac:dyDescent="0.3">
      <c r="B252">
        <v>199233</v>
      </c>
      <c r="C252" t="s">
        <v>16</v>
      </c>
      <c r="D252" t="s">
        <v>32</v>
      </c>
      <c r="E252" t="s">
        <v>18</v>
      </c>
      <c r="F252" t="s">
        <v>17</v>
      </c>
      <c r="G252">
        <v>2222</v>
      </c>
      <c r="H252" t="s">
        <v>19</v>
      </c>
      <c r="I252" t="s">
        <v>754</v>
      </c>
      <c r="J252" t="s">
        <v>511</v>
      </c>
      <c r="K252" t="s">
        <v>147</v>
      </c>
      <c r="L252" t="s">
        <v>144</v>
      </c>
      <c r="M252">
        <v>159</v>
      </c>
      <c r="N252" t="s">
        <v>24</v>
      </c>
      <c r="O252">
        <v>45341.382459062501</v>
      </c>
      <c r="P252" t="s">
        <v>25</v>
      </c>
      <c r="Q252" t="s">
        <v>26</v>
      </c>
      <c r="R252">
        <f t="shared" si="3"/>
        <v>353298</v>
      </c>
    </row>
    <row r="253" spans="2:18" x14ac:dyDescent="0.3">
      <c r="B253">
        <v>137044</v>
      </c>
      <c r="C253" t="s">
        <v>16</v>
      </c>
      <c r="D253" t="s">
        <v>17</v>
      </c>
      <c r="E253" t="s">
        <v>18</v>
      </c>
      <c r="F253" t="s">
        <v>32</v>
      </c>
      <c r="G253">
        <v>2534</v>
      </c>
      <c r="H253" t="s">
        <v>19</v>
      </c>
      <c r="I253" t="s">
        <v>368</v>
      </c>
      <c r="J253" t="s">
        <v>514</v>
      </c>
      <c r="K253" t="s">
        <v>131</v>
      </c>
      <c r="L253" t="s">
        <v>148</v>
      </c>
      <c r="M253">
        <v>12.99</v>
      </c>
      <c r="N253" t="s">
        <v>24</v>
      </c>
      <c r="O253">
        <v>45341.382465381947</v>
      </c>
      <c r="P253" t="s">
        <v>25</v>
      </c>
      <c r="Q253" t="s">
        <v>26</v>
      </c>
      <c r="R253">
        <f t="shared" si="3"/>
        <v>32916.660000000003</v>
      </c>
    </row>
    <row r="254" spans="2:18" x14ac:dyDescent="0.3">
      <c r="B254">
        <v>154736</v>
      </c>
      <c r="C254" t="s">
        <v>49</v>
      </c>
      <c r="D254" t="s">
        <v>32</v>
      </c>
      <c r="E254" t="s">
        <v>18</v>
      </c>
      <c r="F254" t="s">
        <v>32</v>
      </c>
      <c r="G254">
        <v>1466</v>
      </c>
      <c r="H254" t="s">
        <v>19</v>
      </c>
      <c r="I254" t="s">
        <v>372</v>
      </c>
      <c r="J254" t="s">
        <v>519</v>
      </c>
      <c r="K254" t="s">
        <v>154</v>
      </c>
      <c r="L254" t="s">
        <v>151</v>
      </c>
      <c r="M254">
        <v>19.899999999999999</v>
      </c>
      <c r="N254" t="s">
        <v>24</v>
      </c>
      <c r="O254">
        <v>45341.382472581019</v>
      </c>
      <c r="P254" t="s">
        <v>25</v>
      </c>
      <c r="Q254" t="s">
        <v>26</v>
      </c>
      <c r="R254">
        <f t="shared" si="3"/>
        <v>29173.399999999998</v>
      </c>
    </row>
    <row r="255" spans="2:18" x14ac:dyDescent="0.3">
      <c r="B255">
        <v>141434</v>
      </c>
      <c r="C255" t="s">
        <v>49</v>
      </c>
      <c r="D255" t="s">
        <v>17</v>
      </c>
      <c r="E255" t="s">
        <v>18</v>
      </c>
      <c r="F255" t="s">
        <v>32</v>
      </c>
      <c r="G255">
        <v>2870</v>
      </c>
      <c r="H255" t="s">
        <v>19</v>
      </c>
      <c r="I255" t="s">
        <v>376</v>
      </c>
      <c r="J255" t="s">
        <v>523</v>
      </c>
      <c r="K255" t="s">
        <v>52</v>
      </c>
      <c r="L255" t="s">
        <v>155</v>
      </c>
      <c r="M255">
        <v>39.9</v>
      </c>
      <c r="N255" t="s">
        <v>24</v>
      </c>
      <c r="O255">
        <v>45341.382313391201</v>
      </c>
      <c r="P255" t="s">
        <v>25</v>
      </c>
      <c r="Q255" t="s">
        <v>26</v>
      </c>
      <c r="R255">
        <f t="shared" si="3"/>
        <v>114513</v>
      </c>
    </row>
  </sheetData>
  <dataValidations count="1">
    <dataValidation type="list" allowBlank="1" showInputMessage="1" showErrorMessage="1" sqref="Y25" xr:uid="{8B7E68AC-0AD9-4AFE-9279-65B03F8DD06C}">
      <formula1>$Y$25:$Y$219</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B24ECA-123C-4DC0-9565-B01CA364C0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Raw_zara_data</vt:lpstr>
      <vt:lpstr>Sheet1</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chioma Nwaokike</dc:creator>
  <cp:lastModifiedBy>chioma Nwaokike</cp:lastModifiedBy>
  <dcterms:created xsi:type="dcterms:W3CDTF">2026-04-18T11:29:13Z</dcterms:created>
  <dcterms:modified xsi:type="dcterms:W3CDTF">2026-04-21T11:07:55Z</dcterms:modified>
</cp:coreProperties>
</file>